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hkhh-my.sharepoint.com/personal/kmhosp_dhkhh_onmicrosoft_com/Documents/MyPortfolio/"/>
    </mc:Choice>
  </mc:AlternateContent>
  <xr:revisionPtr revIDLastSave="19" documentId="11_28432DEF2A536E57EBA8B36B90EE053BFFC2B9BE" xr6:coauthVersionLast="47" xr6:coauthVersionMax="47" xr10:uidLastSave="{FC2DD803-3B9D-4777-97C9-D90628997156}"/>
  <bookViews>
    <workbookView xWindow="28680" yWindow="-120" windowWidth="29040" windowHeight="15720" activeTab="1" xr2:uid="{00000000-000D-0000-FFFF-FFFF00000000}"/>
  </bookViews>
  <sheets>
    <sheet name="키움raw" sheetId="1" r:id="rId1"/>
    <sheet name="평탄화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3" i="2"/>
  <c r="AA202" i="2"/>
  <c r="X202" i="2"/>
  <c r="G202" i="2"/>
  <c r="F202" i="2"/>
  <c r="E202" i="2"/>
  <c r="D202" i="2"/>
  <c r="C202" i="2"/>
  <c r="B202" i="2"/>
  <c r="A202" i="2"/>
  <c r="AA201" i="2"/>
  <c r="X201" i="2"/>
  <c r="G201" i="2"/>
  <c r="F201" i="2"/>
  <c r="E201" i="2"/>
  <c r="D201" i="2"/>
  <c r="C201" i="2"/>
  <c r="B201" i="2"/>
  <c r="A201" i="2"/>
  <c r="AA200" i="2"/>
  <c r="X200" i="2"/>
  <c r="G200" i="2"/>
  <c r="F200" i="2"/>
  <c r="E200" i="2"/>
  <c r="D200" i="2"/>
  <c r="C200" i="2"/>
  <c r="B200" i="2"/>
  <c r="A200" i="2"/>
  <c r="AA199" i="2"/>
  <c r="X199" i="2"/>
  <c r="G199" i="2"/>
  <c r="F199" i="2"/>
  <c r="E199" i="2"/>
  <c r="D199" i="2"/>
  <c r="C199" i="2"/>
  <c r="B199" i="2"/>
  <c r="A199" i="2"/>
  <c r="AA198" i="2"/>
  <c r="X198" i="2"/>
  <c r="G198" i="2"/>
  <c r="F198" i="2"/>
  <c r="E198" i="2"/>
  <c r="D198" i="2"/>
  <c r="C198" i="2"/>
  <c r="B198" i="2"/>
  <c r="A198" i="2"/>
  <c r="AA197" i="2"/>
  <c r="X197" i="2"/>
  <c r="G197" i="2"/>
  <c r="F197" i="2"/>
  <c r="E197" i="2"/>
  <c r="D197" i="2"/>
  <c r="C197" i="2"/>
  <c r="B197" i="2"/>
  <c r="A197" i="2"/>
  <c r="AA196" i="2"/>
  <c r="X196" i="2"/>
  <c r="G196" i="2"/>
  <c r="F196" i="2"/>
  <c r="E196" i="2"/>
  <c r="D196" i="2"/>
  <c r="C196" i="2"/>
  <c r="B196" i="2"/>
  <c r="A196" i="2"/>
  <c r="AA195" i="2"/>
  <c r="X195" i="2"/>
  <c r="G195" i="2"/>
  <c r="F195" i="2"/>
  <c r="E195" i="2"/>
  <c r="D195" i="2"/>
  <c r="C195" i="2"/>
  <c r="B195" i="2"/>
  <c r="A195" i="2"/>
  <c r="AA194" i="2"/>
  <c r="X194" i="2"/>
  <c r="G194" i="2"/>
  <c r="F194" i="2"/>
  <c r="E194" i="2"/>
  <c r="D194" i="2"/>
  <c r="C194" i="2"/>
  <c r="B194" i="2"/>
  <c r="A194" i="2"/>
  <c r="AA193" i="2"/>
  <c r="X193" i="2"/>
  <c r="G193" i="2"/>
  <c r="F193" i="2"/>
  <c r="E193" i="2"/>
  <c r="D193" i="2"/>
  <c r="C193" i="2"/>
  <c r="B193" i="2"/>
  <c r="A193" i="2"/>
  <c r="AA192" i="2"/>
  <c r="X192" i="2"/>
  <c r="G192" i="2"/>
  <c r="F192" i="2"/>
  <c r="E192" i="2"/>
  <c r="D192" i="2"/>
  <c r="C192" i="2"/>
  <c r="B192" i="2"/>
  <c r="A192" i="2"/>
  <c r="AA191" i="2"/>
  <c r="X191" i="2"/>
  <c r="G191" i="2"/>
  <c r="F191" i="2"/>
  <c r="E191" i="2"/>
  <c r="D191" i="2"/>
  <c r="C191" i="2"/>
  <c r="B191" i="2"/>
  <c r="A191" i="2"/>
  <c r="AA190" i="2"/>
  <c r="X190" i="2"/>
  <c r="G190" i="2"/>
  <c r="F190" i="2"/>
  <c r="E190" i="2"/>
  <c r="D190" i="2"/>
  <c r="C190" i="2"/>
  <c r="B190" i="2"/>
  <c r="A190" i="2"/>
  <c r="AA189" i="2"/>
  <c r="X189" i="2"/>
  <c r="G189" i="2"/>
  <c r="F189" i="2"/>
  <c r="E189" i="2"/>
  <c r="D189" i="2"/>
  <c r="C189" i="2"/>
  <c r="B189" i="2"/>
  <c r="A189" i="2"/>
  <c r="AA188" i="2"/>
  <c r="X188" i="2"/>
  <c r="G188" i="2"/>
  <c r="F188" i="2"/>
  <c r="E188" i="2"/>
  <c r="D188" i="2"/>
  <c r="C188" i="2"/>
  <c r="B188" i="2"/>
  <c r="A188" i="2"/>
  <c r="AA187" i="2"/>
  <c r="X187" i="2"/>
  <c r="G187" i="2"/>
  <c r="F187" i="2"/>
  <c r="E187" i="2"/>
  <c r="D187" i="2"/>
  <c r="C187" i="2"/>
  <c r="B187" i="2"/>
  <c r="A187" i="2"/>
  <c r="AA186" i="2"/>
  <c r="X186" i="2"/>
  <c r="G186" i="2"/>
  <c r="F186" i="2"/>
  <c r="E186" i="2"/>
  <c r="D186" i="2"/>
  <c r="C186" i="2"/>
  <c r="B186" i="2"/>
  <c r="A186" i="2"/>
  <c r="AA185" i="2"/>
  <c r="X185" i="2"/>
  <c r="G185" i="2"/>
  <c r="F185" i="2"/>
  <c r="E185" i="2"/>
  <c r="D185" i="2"/>
  <c r="C185" i="2"/>
  <c r="B185" i="2"/>
  <c r="A185" i="2"/>
  <c r="AA184" i="2"/>
  <c r="X184" i="2"/>
  <c r="G184" i="2"/>
  <c r="F184" i="2"/>
  <c r="E184" i="2"/>
  <c r="D184" i="2"/>
  <c r="C184" i="2"/>
  <c r="B184" i="2"/>
  <c r="A184" i="2"/>
  <c r="AA183" i="2"/>
  <c r="X183" i="2"/>
  <c r="G183" i="2"/>
  <c r="F183" i="2"/>
  <c r="E183" i="2"/>
  <c r="D183" i="2"/>
  <c r="C183" i="2"/>
  <c r="B183" i="2"/>
  <c r="A183" i="2"/>
  <c r="AA182" i="2"/>
  <c r="X182" i="2"/>
  <c r="G182" i="2"/>
  <c r="F182" i="2"/>
  <c r="E182" i="2"/>
  <c r="D182" i="2"/>
  <c r="C182" i="2"/>
  <c r="B182" i="2"/>
  <c r="A182" i="2"/>
  <c r="AA181" i="2"/>
  <c r="X181" i="2"/>
  <c r="G181" i="2"/>
  <c r="F181" i="2"/>
  <c r="E181" i="2"/>
  <c r="D181" i="2"/>
  <c r="C181" i="2"/>
  <c r="B181" i="2"/>
  <c r="A181" i="2"/>
  <c r="AA180" i="2"/>
  <c r="X180" i="2"/>
  <c r="G180" i="2"/>
  <c r="F180" i="2"/>
  <c r="E180" i="2"/>
  <c r="D180" i="2"/>
  <c r="C180" i="2"/>
  <c r="B180" i="2"/>
  <c r="A180" i="2"/>
  <c r="AA179" i="2"/>
  <c r="X179" i="2"/>
  <c r="G179" i="2"/>
  <c r="F179" i="2"/>
  <c r="E179" i="2"/>
  <c r="D179" i="2"/>
  <c r="C179" i="2"/>
  <c r="B179" i="2"/>
  <c r="A179" i="2"/>
  <c r="AA178" i="2"/>
  <c r="X178" i="2"/>
  <c r="G178" i="2"/>
  <c r="F178" i="2"/>
  <c r="E178" i="2"/>
  <c r="D178" i="2"/>
  <c r="C178" i="2"/>
  <c r="B178" i="2"/>
  <c r="A178" i="2"/>
  <c r="AA177" i="2"/>
  <c r="X177" i="2"/>
  <c r="G177" i="2"/>
  <c r="F177" i="2"/>
  <c r="E177" i="2"/>
  <c r="D177" i="2"/>
  <c r="C177" i="2"/>
  <c r="B177" i="2"/>
  <c r="A177" i="2"/>
  <c r="AA176" i="2"/>
  <c r="X176" i="2"/>
  <c r="G176" i="2"/>
  <c r="F176" i="2"/>
  <c r="E176" i="2"/>
  <c r="D176" i="2"/>
  <c r="C176" i="2"/>
  <c r="B176" i="2"/>
  <c r="A176" i="2"/>
  <c r="AA175" i="2"/>
  <c r="X175" i="2"/>
  <c r="G175" i="2"/>
  <c r="F175" i="2"/>
  <c r="E175" i="2"/>
  <c r="D175" i="2"/>
  <c r="C175" i="2"/>
  <c r="B175" i="2"/>
  <c r="A175" i="2"/>
  <c r="AA174" i="2"/>
  <c r="X174" i="2"/>
  <c r="G174" i="2"/>
  <c r="F174" i="2"/>
  <c r="E174" i="2"/>
  <c r="D174" i="2"/>
  <c r="C174" i="2"/>
  <c r="B174" i="2"/>
  <c r="A174" i="2"/>
  <c r="AA173" i="2"/>
  <c r="X173" i="2"/>
  <c r="G173" i="2"/>
  <c r="F173" i="2"/>
  <c r="E173" i="2"/>
  <c r="D173" i="2"/>
  <c r="C173" i="2"/>
  <c r="B173" i="2"/>
  <c r="A173" i="2"/>
  <c r="AA172" i="2"/>
  <c r="X172" i="2"/>
  <c r="G172" i="2"/>
  <c r="F172" i="2"/>
  <c r="E172" i="2"/>
  <c r="D172" i="2"/>
  <c r="C172" i="2"/>
  <c r="B172" i="2"/>
  <c r="A172" i="2"/>
  <c r="AA171" i="2"/>
  <c r="X171" i="2"/>
  <c r="G171" i="2"/>
  <c r="F171" i="2"/>
  <c r="E171" i="2"/>
  <c r="D171" i="2"/>
  <c r="C171" i="2"/>
  <c r="B171" i="2"/>
  <c r="A171" i="2"/>
  <c r="AA170" i="2"/>
  <c r="X170" i="2"/>
  <c r="G170" i="2"/>
  <c r="F170" i="2"/>
  <c r="E170" i="2"/>
  <c r="D170" i="2"/>
  <c r="C170" i="2"/>
  <c r="B170" i="2"/>
  <c r="A170" i="2"/>
  <c r="AA169" i="2"/>
  <c r="X169" i="2"/>
  <c r="G169" i="2"/>
  <c r="F169" i="2"/>
  <c r="E169" i="2"/>
  <c r="D169" i="2"/>
  <c r="C169" i="2"/>
  <c r="B169" i="2"/>
  <c r="A169" i="2"/>
  <c r="AA168" i="2"/>
  <c r="X168" i="2"/>
  <c r="G168" i="2"/>
  <c r="F168" i="2"/>
  <c r="E168" i="2"/>
  <c r="D168" i="2"/>
  <c r="C168" i="2"/>
  <c r="B168" i="2"/>
  <c r="A168" i="2"/>
  <c r="AA167" i="2"/>
  <c r="X167" i="2"/>
  <c r="G167" i="2"/>
  <c r="F167" i="2"/>
  <c r="E167" i="2"/>
  <c r="D167" i="2"/>
  <c r="C167" i="2"/>
  <c r="B167" i="2"/>
  <c r="A167" i="2"/>
  <c r="AA166" i="2"/>
  <c r="X166" i="2"/>
  <c r="G166" i="2"/>
  <c r="F166" i="2"/>
  <c r="E166" i="2"/>
  <c r="D166" i="2"/>
  <c r="C166" i="2"/>
  <c r="B166" i="2"/>
  <c r="A166" i="2"/>
  <c r="AA165" i="2"/>
  <c r="X165" i="2"/>
  <c r="G165" i="2"/>
  <c r="F165" i="2"/>
  <c r="E165" i="2"/>
  <c r="D165" i="2"/>
  <c r="C165" i="2"/>
  <c r="B165" i="2"/>
  <c r="A165" i="2"/>
  <c r="AA164" i="2"/>
  <c r="X164" i="2"/>
  <c r="G164" i="2"/>
  <c r="F164" i="2"/>
  <c r="E164" i="2"/>
  <c r="D164" i="2"/>
  <c r="C164" i="2"/>
  <c r="B164" i="2"/>
  <c r="A164" i="2"/>
  <c r="AA163" i="2"/>
  <c r="X163" i="2"/>
  <c r="G163" i="2"/>
  <c r="F163" i="2"/>
  <c r="E163" i="2"/>
  <c r="D163" i="2"/>
  <c r="C163" i="2"/>
  <c r="B163" i="2"/>
  <c r="A163" i="2"/>
  <c r="AA162" i="2"/>
  <c r="X162" i="2"/>
  <c r="G162" i="2"/>
  <c r="F162" i="2"/>
  <c r="E162" i="2"/>
  <c r="D162" i="2"/>
  <c r="C162" i="2"/>
  <c r="B162" i="2"/>
  <c r="A162" i="2"/>
  <c r="AA161" i="2"/>
  <c r="X161" i="2"/>
  <c r="G161" i="2"/>
  <c r="F161" i="2"/>
  <c r="E161" i="2"/>
  <c r="D161" i="2"/>
  <c r="C161" i="2"/>
  <c r="B161" i="2"/>
  <c r="A161" i="2"/>
  <c r="AA160" i="2"/>
  <c r="X160" i="2"/>
  <c r="G160" i="2"/>
  <c r="F160" i="2"/>
  <c r="E160" i="2"/>
  <c r="D160" i="2"/>
  <c r="C160" i="2"/>
  <c r="B160" i="2"/>
  <c r="A160" i="2"/>
  <c r="AA159" i="2"/>
  <c r="X159" i="2"/>
  <c r="G159" i="2"/>
  <c r="F159" i="2"/>
  <c r="E159" i="2"/>
  <c r="D159" i="2"/>
  <c r="C159" i="2"/>
  <c r="B159" i="2"/>
  <c r="A159" i="2"/>
  <c r="AA158" i="2"/>
  <c r="X158" i="2"/>
  <c r="G158" i="2"/>
  <c r="F158" i="2"/>
  <c r="E158" i="2"/>
  <c r="D158" i="2"/>
  <c r="C158" i="2"/>
  <c r="B158" i="2"/>
  <c r="A158" i="2"/>
  <c r="AA157" i="2"/>
  <c r="X157" i="2"/>
  <c r="G157" i="2"/>
  <c r="F157" i="2"/>
  <c r="E157" i="2"/>
  <c r="D157" i="2"/>
  <c r="C157" i="2"/>
  <c r="B157" i="2"/>
  <c r="A157" i="2"/>
  <c r="AA156" i="2"/>
  <c r="X156" i="2"/>
  <c r="G156" i="2"/>
  <c r="F156" i="2"/>
  <c r="E156" i="2"/>
  <c r="D156" i="2"/>
  <c r="C156" i="2"/>
  <c r="B156" i="2"/>
  <c r="A156" i="2"/>
  <c r="AA155" i="2"/>
  <c r="X155" i="2"/>
  <c r="G155" i="2"/>
  <c r="F155" i="2"/>
  <c r="E155" i="2"/>
  <c r="D155" i="2"/>
  <c r="C155" i="2"/>
  <c r="B155" i="2"/>
  <c r="A155" i="2"/>
  <c r="AA154" i="2"/>
  <c r="X154" i="2"/>
  <c r="G154" i="2"/>
  <c r="F154" i="2"/>
  <c r="E154" i="2"/>
  <c r="D154" i="2"/>
  <c r="C154" i="2"/>
  <c r="B154" i="2"/>
  <c r="A154" i="2"/>
  <c r="AA153" i="2"/>
  <c r="X153" i="2"/>
  <c r="G153" i="2"/>
  <c r="F153" i="2"/>
  <c r="E153" i="2"/>
  <c r="D153" i="2"/>
  <c r="C153" i="2"/>
  <c r="B153" i="2"/>
  <c r="A153" i="2"/>
  <c r="AA152" i="2"/>
  <c r="X152" i="2"/>
  <c r="G152" i="2"/>
  <c r="F152" i="2"/>
  <c r="E152" i="2"/>
  <c r="D152" i="2"/>
  <c r="C152" i="2"/>
  <c r="B152" i="2"/>
  <c r="A152" i="2"/>
  <c r="AA151" i="2"/>
  <c r="X151" i="2"/>
  <c r="G151" i="2"/>
  <c r="F151" i="2"/>
  <c r="E151" i="2"/>
  <c r="D151" i="2"/>
  <c r="C151" i="2"/>
  <c r="B151" i="2"/>
  <c r="A151" i="2"/>
  <c r="AA150" i="2"/>
  <c r="X150" i="2"/>
  <c r="G150" i="2"/>
  <c r="F150" i="2"/>
  <c r="E150" i="2"/>
  <c r="D150" i="2"/>
  <c r="C150" i="2"/>
  <c r="B150" i="2"/>
  <c r="A150" i="2"/>
  <c r="AA149" i="2"/>
  <c r="X149" i="2"/>
  <c r="G149" i="2"/>
  <c r="F149" i="2"/>
  <c r="E149" i="2"/>
  <c r="D149" i="2"/>
  <c r="C149" i="2"/>
  <c r="B149" i="2"/>
  <c r="A149" i="2"/>
  <c r="AA148" i="2"/>
  <c r="X148" i="2"/>
  <c r="G148" i="2"/>
  <c r="F148" i="2"/>
  <c r="E148" i="2"/>
  <c r="D148" i="2"/>
  <c r="C148" i="2"/>
  <c r="B148" i="2"/>
  <c r="A148" i="2"/>
  <c r="AA147" i="2"/>
  <c r="X147" i="2"/>
  <c r="G147" i="2"/>
  <c r="F147" i="2"/>
  <c r="E147" i="2"/>
  <c r="D147" i="2"/>
  <c r="C147" i="2"/>
  <c r="B147" i="2"/>
  <c r="A147" i="2"/>
  <c r="AA146" i="2"/>
  <c r="X146" i="2"/>
  <c r="G146" i="2"/>
  <c r="F146" i="2"/>
  <c r="E146" i="2"/>
  <c r="D146" i="2"/>
  <c r="C146" i="2"/>
  <c r="B146" i="2"/>
  <c r="A146" i="2"/>
  <c r="AA145" i="2"/>
  <c r="X145" i="2"/>
  <c r="G145" i="2"/>
  <c r="F145" i="2"/>
  <c r="E145" i="2"/>
  <c r="D145" i="2"/>
  <c r="C145" i="2"/>
  <c r="B145" i="2"/>
  <c r="A145" i="2"/>
  <c r="AA144" i="2"/>
  <c r="X144" i="2"/>
  <c r="G144" i="2"/>
  <c r="F144" i="2"/>
  <c r="E144" i="2"/>
  <c r="D144" i="2"/>
  <c r="C144" i="2"/>
  <c r="B144" i="2"/>
  <c r="A144" i="2"/>
  <c r="AA143" i="2"/>
  <c r="X143" i="2"/>
  <c r="G143" i="2"/>
  <c r="F143" i="2"/>
  <c r="E143" i="2"/>
  <c r="D143" i="2"/>
  <c r="C143" i="2"/>
  <c r="B143" i="2"/>
  <c r="A143" i="2"/>
  <c r="AA142" i="2"/>
  <c r="X142" i="2"/>
  <c r="G142" i="2"/>
  <c r="F142" i="2"/>
  <c r="E142" i="2"/>
  <c r="D142" i="2"/>
  <c r="C142" i="2"/>
  <c r="B142" i="2"/>
  <c r="A142" i="2"/>
  <c r="AA141" i="2"/>
  <c r="X141" i="2"/>
  <c r="G141" i="2"/>
  <c r="F141" i="2"/>
  <c r="E141" i="2"/>
  <c r="D141" i="2"/>
  <c r="C141" i="2"/>
  <c r="B141" i="2"/>
  <c r="A141" i="2"/>
  <c r="AA140" i="2"/>
  <c r="X140" i="2"/>
  <c r="G140" i="2"/>
  <c r="F140" i="2"/>
  <c r="E140" i="2"/>
  <c r="D140" i="2"/>
  <c r="C140" i="2"/>
  <c r="B140" i="2"/>
  <c r="A140" i="2"/>
  <c r="AA139" i="2"/>
  <c r="X139" i="2"/>
  <c r="G139" i="2"/>
  <c r="F139" i="2"/>
  <c r="E139" i="2"/>
  <c r="D139" i="2"/>
  <c r="C139" i="2"/>
  <c r="B139" i="2"/>
  <c r="A139" i="2"/>
  <c r="AA138" i="2"/>
  <c r="X138" i="2"/>
  <c r="G138" i="2"/>
  <c r="F138" i="2"/>
  <c r="E138" i="2"/>
  <c r="D138" i="2"/>
  <c r="C138" i="2"/>
  <c r="B138" i="2"/>
  <c r="A138" i="2"/>
  <c r="AA137" i="2"/>
  <c r="X137" i="2"/>
  <c r="G137" i="2"/>
  <c r="F137" i="2"/>
  <c r="E137" i="2"/>
  <c r="D137" i="2"/>
  <c r="C137" i="2"/>
  <c r="B137" i="2"/>
  <c r="A137" i="2"/>
  <c r="AA136" i="2"/>
  <c r="X136" i="2"/>
  <c r="G136" i="2"/>
  <c r="F136" i="2"/>
  <c r="E136" i="2"/>
  <c r="D136" i="2"/>
  <c r="C136" i="2"/>
  <c r="B136" i="2"/>
  <c r="A136" i="2"/>
  <c r="AA135" i="2"/>
  <c r="X135" i="2"/>
  <c r="G135" i="2"/>
  <c r="F135" i="2"/>
  <c r="E135" i="2"/>
  <c r="D135" i="2"/>
  <c r="C135" i="2"/>
  <c r="B135" i="2"/>
  <c r="A135" i="2"/>
  <c r="AA134" i="2"/>
  <c r="X134" i="2"/>
  <c r="G134" i="2"/>
  <c r="F134" i="2"/>
  <c r="E134" i="2"/>
  <c r="D134" i="2"/>
  <c r="C134" i="2"/>
  <c r="B134" i="2"/>
  <c r="A134" i="2"/>
  <c r="AA133" i="2"/>
  <c r="X133" i="2"/>
  <c r="G133" i="2"/>
  <c r="F133" i="2"/>
  <c r="E133" i="2"/>
  <c r="D133" i="2"/>
  <c r="C133" i="2"/>
  <c r="B133" i="2"/>
  <c r="A133" i="2"/>
  <c r="AA132" i="2"/>
  <c r="X132" i="2"/>
  <c r="G132" i="2"/>
  <c r="F132" i="2"/>
  <c r="E132" i="2"/>
  <c r="D132" i="2"/>
  <c r="C132" i="2"/>
  <c r="B132" i="2"/>
  <c r="A132" i="2"/>
  <c r="AA131" i="2"/>
  <c r="X131" i="2"/>
  <c r="G131" i="2"/>
  <c r="F131" i="2"/>
  <c r="E131" i="2"/>
  <c r="D131" i="2"/>
  <c r="C131" i="2"/>
  <c r="B131" i="2"/>
  <c r="A131" i="2"/>
  <c r="AA130" i="2"/>
  <c r="X130" i="2"/>
  <c r="G130" i="2"/>
  <c r="F130" i="2"/>
  <c r="E130" i="2"/>
  <c r="D130" i="2"/>
  <c r="C130" i="2"/>
  <c r="B130" i="2"/>
  <c r="A130" i="2"/>
  <c r="AA129" i="2"/>
  <c r="X129" i="2"/>
  <c r="G129" i="2"/>
  <c r="F129" i="2"/>
  <c r="E129" i="2"/>
  <c r="D129" i="2"/>
  <c r="C129" i="2"/>
  <c r="B129" i="2"/>
  <c r="A129" i="2"/>
  <c r="AA128" i="2"/>
  <c r="X128" i="2"/>
  <c r="G128" i="2"/>
  <c r="F128" i="2"/>
  <c r="E128" i="2"/>
  <c r="D128" i="2"/>
  <c r="C128" i="2"/>
  <c r="B128" i="2"/>
  <c r="A128" i="2"/>
  <c r="AA127" i="2"/>
  <c r="X127" i="2"/>
  <c r="G127" i="2"/>
  <c r="F127" i="2"/>
  <c r="E127" i="2"/>
  <c r="D127" i="2"/>
  <c r="C127" i="2"/>
  <c r="B127" i="2"/>
  <c r="A127" i="2"/>
  <c r="AA126" i="2"/>
  <c r="X126" i="2"/>
  <c r="G126" i="2"/>
  <c r="F126" i="2"/>
  <c r="E126" i="2"/>
  <c r="D126" i="2"/>
  <c r="C126" i="2"/>
  <c r="B126" i="2"/>
  <c r="A126" i="2"/>
  <c r="AA125" i="2"/>
  <c r="X125" i="2"/>
  <c r="G125" i="2"/>
  <c r="F125" i="2"/>
  <c r="E125" i="2"/>
  <c r="D125" i="2"/>
  <c r="C125" i="2"/>
  <c r="B125" i="2"/>
  <c r="A125" i="2"/>
  <c r="AA124" i="2"/>
  <c r="X124" i="2"/>
  <c r="G124" i="2"/>
  <c r="F124" i="2"/>
  <c r="E124" i="2"/>
  <c r="D124" i="2"/>
  <c r="C124" i="2"/>
  <c r="B124" i="2"/>
  <c r="A124" i="2"/>
  <c r="AA123" i="2"/>
  <c r="X123" i="2"/>
  <c r="G123" i="2"/>
  <c r="F123" i="2"/>
  <c r="E123" i="2"/>
  <c r="D123" i="2"/>
  <c r="C123" i="2"/>
  <c r="B123" i="2"/>
  <c r="A123" i="2"/>
  <c r="AA122" i="2"/>
  <c r="X122" i="2"/>
  <c r="G122" i="2"/>
  <c r="F122" i="2"/>
  <c r="E122" i="2"/>
  <c r="D122" i="2"/>
  <c r="C122" i="2"/>
  <c r="B122" i="2"/>
  <c r="A122" i="2"/>
  <c r="AA121" i="2"/>
  <c r="X121" i="2"/>
  <c r="G121" i="2"/>
  <c r="F121" i="2"/>
  <c r="E121" i="2"/>
  <c r="D121" i="2"/>
  <c r="C121" i="2"/>
  <c r="B121" i="2"/>
  <c r="A121" i="2"/>
  <c r="AA120" i="2"/>
  <c r="X120" i="2"/>
  <c r="G120" i="2"/>
  <c r="F120" i="2"/>
  <c r="E120" i="2"/>
  <c r="D120" i="2"/>
  <c r="C120" i="2"/>
  <c r="B120" i="2"/>
  <c r="A120" i="2"/>
  <c r="AA119" i="2"/>
  <c r="X119" i="2"/>
  <c r="G119" i="2"/>
  <c r="F119" i="2"/>
  <c r="E119" i="2"/>
  <c r="D119" i="2"/>
  <c r="C119" i="2"/>
  <c r="B119" i="2"/>
  <c r="A119" i="2"/>
  <c r="AA118" i="2"/>
  <c r="X118" i="2"/>
  <c r="G118" i="2"/>
  <c r="F118" i="2"/>
  <c r="E118" i="2"/>
  <c r="D118" i="2"/>
  <c r="C118" i="2"/>
  <c r="B118" i="2"/>
  <c r="A118" i="2"/>
  <c r="AA117" i="2"/>
  <c r="X117" i="2"/>
  <c r="G117" i="2"/>
  <c r="F117" i="2"/>
  <c r="E117" i="2"/>
  <c r="D117" i="2"/>
  <c r="C117" i="2"/>
  <c r="B117" i="2"/>
  <c r="A117" i="2"/>
  <c r="AA116" i="2"/>
  <c r="X116" i="2"/>
  <c r="G116" i="2"/>
  <c r="F116" i="2"/>
  <c r="E116" i="2"/>
  <c r="D116" i="2"/>
  <c r="C116" i="2"/>
  <c r="B116" i="2"/>
  <c r="A116" i="2"/>
  <c r="AA115" i="2"/>
  <c r="X115" i="2"/>
  <c r="G115" i="2"/>
  <c r="F115" i="2"/>
  <c r="E115" i="2"/>
  <c r="D115" i="2"/>
  <c r="C115" i="2"/>
  <c r="B115" i="2"/>
  <c r="A115" i="2"/>
  <c r="AA114" i="2"/>
  <c r="X114" i="2"/>
  <c r="G114" i="2"/>
  <c r="F114" i="2"/>
  <c r="E114" i="2"/>
  <c r="D114" i="2"/>
  <c r="C114" i="2"/>
  <c r="B114" i="2"/>
  <c r="A114" i="2"/>
  <c r="AA113" i="2"/>
  <c r="X113" i="2"/>
  <c r="G113" i="2"/>
  <c r="F113" i="2"/>
  <c r="E113" i="2"/>
  <c r="D113" i="2"/>
  <c r="C113" i="2"/>
  <c r="B113" i="2"/>
  <c r="A113" i="2"/>
  <c r="AA112" i="2"/>
  <c r="X112" i="2"/>
  <c r="G112" i="2"/>
  <c r="F112" i="2"/>
  <c r="E112" i="2"/>
  <c r="D112" i="2"/>
  <c r="C112" i="2"/>
  <c r="B112" i="2"/>
  <c r="A112" i="2"/>
  <c r="AA111" i="2"/>
  <c r="X111" i="2"/>
  <c r="G111" i="2"/>
  <c r="F111" i="2"/>
  <c r="E111" i="2"/>
  <c r="D111" i="2"/>
  <c r="C111" i="2"/>
  <c r="B111" i="2"/>
  <c r="A111" i="2"/>
  <c r="AA110" i="2"/>
  <c r="X110" i="2"/>
  <c r="G110" i="2"/>
  <c r="F110" i="2"/>
  <c r="E110" i="2"/>
  <c r="D110" i="2"/>
  <c r="C110" i="2"/>
  <c r="B110" i="2"/>
  <c r="A110" i="2"/>
  <c r="AA109" i="2"/>
  <c r="X109" i="2"/>
  <c r="G109" i="2"/>
  <c r="F109" i="2"/>
  <c r="E109" i="2"/>
  <c r="D109" i="2"/>
  <c r="C109" i="2"/>
  <c r="B109" i="2"/>
  <c r="A109" i="2"/>
  <c r="AA108" i="2"/>
  <c r="X108" i="2"/>
  <c r="G108" i="2"/>
  <c r="F108" i="2"/>
  <c r="E108" i="2"/>
  <c r="D108" i="2"/>
  <c r="C108" i="2"/>
  <c r="B108" i="2"/>
  <c r="A108" i="2"/>
  <c r="AA107" i="2"/>
  <c r="X107" i="2"/>
  <c r="G107" i="2"/>
  <c r="F107" i="2"/>
  <c r="E107" i="2"/>
  <c r="D107" i="2"/>
  <c r="C107" i="2"/>
  <c r="B107" i="2"/>
  <c r="A107" i="2"/>
  <c r="AA106" i="2"/>
  <c r="X106" i="2"/>
  <c r="G106" i="2"/>
  <c r="F106" i="2"/>
  <c r="E106" i="2"/>
  <c r="D106" i="2"/>
  <c r="C106" i="2"/>
  <c r="B106" i="2"/>
  <c r="A106" i="2"/>
  <c r="AA105" i="2"/>
  <c r="X105" i="2"/>
  <c r="G105" i="2"/>
  <c r="F105" i="2"/>
  <c r="E105" i="2"/>
  <c r="D105" i="2"/>
  <c r="C105" i="2"/>
  <c r="B105" i="2"/>
  <c r="A105" i="2"/>
  <c r="AA104" i="2"/>
  <c r="X104" i="2"/>
  <c r="G104" i="2"/>
  <c r="F104" i="2"/>
  <c r="E104" i="2"/>
  <c r="D104" i="2"/>
  <c r="C104" i="2"/>
  <c r="B104" i="2"/>
  <c r="A104" i="2"/>
  <c r="AA103" i="2"/>
  <c r="X103" i="2"/>
  <c r="G103" i="2"/>
  <c r="F103" i="2"/>
  <c r="E103" i="2"/>
  <c r="D103" i="2"/>
  <c r="C103" i="2"/>
  <c r="B103" i="2"/>
  <c r="A103" i="2"/>
  <c r="AA102" i="2"/>
  <c r="X102" i="2"/>
  <c r="G102" i="2"/>
  <c r="F102" i="2"/>
  <c r="E102" i="2"/>
  <c r="D102" i="2"/>
  <c r="C102" i="2"/>
  <c r="B102" i="2"/>
  <c r="A102" i="2"/>
  <c r="AA101" i="2"/>
  <c r="X101" i="2"/>
  <c r="G101" i="2"/>
  <c r="F101" i="2"/>
  <c r="E101" i="2"/>
  <c r="D101" i="2"/>
  <c r="C101" i="2"/>
  <c r="B101" i="2"/>
  <c r="A101" i="2"/>
  <c r="AA100" i="2"/>
  <c r="X100" i="2"/>
  <c r="G100" i="2"/>
  <c r="F100" i="2"/>
  <c r="E100" i="2"/>
  <c r="D100" i="2"/>
  <c r="C100" i="2"/>
  <c r="B100" i="2"/>
  <c r="A100" i="2"/>
  <c r="AA99" i="2"/>
  <c r="X99" i="2"/>
  <c r="G99" i="2"/>
  <c r="F99" i="2"/>
  <c r="E99" i="2"/>
  <c r="D99" i="2"/>
  <c r="C99" i="2"/>
  <c r="B99" i="2"/>
  <c r="A99" i="2"/>
  <c r="AA98" i="2"/>
  <c r="X98" i="2"/>
  <c r="G98" i="2"/>
  <c r="F98" i="2"/>
  <c r="E98" i="2"/>
  <c r="D98" i="2"/>
  <c r="C98" i="2"/>
  <c r="B98" i="2"/>
  <c r="A98" i="2"/>
  <c r="AA97" i="2"/>
  <c r="X97" i="2"/>
  <c r="G97" i="2"/>
  <c r="F97" i="2"/>
  <c r="E97" i="2"/>
  <c r="D97" i="2"/>
  <c r="C97" i="2"/>
  <c r="B97" i="2"/>
  <c r="A97" i="2"/>
  <c r="AA96" i="2"/>
  <c r="X96" i="2"/>
  <c r="G96" i="2"/>
  <c r="F96" i="2"/>
  <c r="E96" i="2"/>
  <c r="D96" i="2"/>
  <c r="C96" i="2"/>
  <c r="B96" i="2"/>
  <c r="A96" i="2"/>
  <c r="AA95" i="2"/>
  <c r="X95" i="2"/>
  <c r="G95" i="2"/>
  <c r="F95" i="2"/>
  <c r="E95" i="2"/>
  <c r="D95" i="2"/>
  <c r="C95" i="2"/>
  <c r="B95" i="2"/>
  <c r="A95" i="2"/>
  <c r="AA94" i="2"/>
  <c r="X94" i="2"/>
  <c r="G94" i="2"/>
  <c r="F94" i="2"/>
  <c r="E94" i="2"/>
  <c r="D94" i="2"/>
  <c r="C94" i="2"/>
  <c r="B94" i="2"/>
  <c r="A94" i="2"/>
  <c r="AA93" i="2"/>
  <c r="X93" i="2"/>
  <c r="G93" i="2"/>
  <c r="F93" i="2"/>
  <c r="E93" i="2"/>
  <c r="D93" i="2"/>
  <c r="C93" i="2"/>
  <c r="B93" i="2"/>
  <c r="A93" i="2"/>
  <c r="AA92" i="2"/>
  <c r="X92" i="2"/>
  <c r="G92" i="2"/>
  <c r="F92" i="2"/>
  <c r="E92" i="2"/>
  <c r="D92" i="2"/>
  <c r="C92" i="2"/>
  <c r="B92" i="2"/>
  <c r="A92" i="2"/>
  <c r="AA91" i="2"/>
  <c r="X91" i="2"/>
  <c r="G91" i="2"/>
  <c r="F91" i="2"/>
  <c r="E91" i="2"/>
  <c r="D91" i="2"/>
  <c r="C91" i="2"/>
  <c r="B91" i="2"/>
  <c r="A91" i="2"/>
  <c r="AA90" i="2"/>
  <c r="X90" i="2"/>
  <c r="G90" i="2"/>
  <c r="F90" i="2"/>
  <c r="E90" i="2"/>
  <c r="D90" i="2"/>
  <c r="C90" i="2"/>
  <c r="B90" i="2"/>
  <c r="A90" i="2"/>
  <c r="AA89" i="2"/>
  <c r="X89" i="2"/>
  <c r="G89" i="2"/>
  <c r="F89" i="2"/>
  <c r="E89" i="2"/>
  <c r="D89" i="2"/>
  <c r="C89" i="2"/>
  <c r="B89" i="2"/>
  <c r="A89" i="2"/>
  <c r="AA88" i="2"/>
  <c r="X88" i="2"/>
  <c r="G88" i="2"/>
  <c r="F88" i="2"/>
  <c r="E88" i="2"/>
  <c r="D88" i="2"/>
  <c r="C88" i="2"/>
  <c r="B88" i="2"/>
  <c r="A88" i="2"/>
  <c r="AA87" i="2"/>
  <c r="X87" i="2"/>
  <c r="G87" i="2"/>
  <c r="F87" i="2"/>
  <c r="E87" i="2"/>
  <c r="D87" i="2"/>
  <c r="C87" i="2"/>
  <c r="B87" i="2"/>
  <c r="A87" i="2"/>
  <c r="AA86" i="2"/>
  <c r="X86" i="2"/>
  <c r="G86" i="2"/>
  <c r="F86" i="2"/>
  <c r="E86" i="2"/>
  <c r="D86" i="2"/>
  <c r="C86" i="2"/>
  <c r="B86" i="2"/>
  <c r="A86" i="2"/>
  <c r="AA85" i="2"/>
  <c r="X85" i="2"/>
  <c r="G85" i="2"/>
  <c r="F85" i="2"/>
  <c r="E85" i="2"/>
  <c r="D85" i="2"/>
  <c r="C85" i="2"/>
  <c r="B85" i="2"/>
  <c r="A85" i="2"/>
  <c r="AA84" i="2"/>
  <c r="X84" i="2"/>
  <c r="G84" i="2"/>
  <c r="F84" i="2"/>
  <c r="E84" i="2"/>
  <c r="D84" i="2"/>
  <c r="C84" i="2"/>
  <c r="B84" i="2"/>
  <c r="A84" i="2"/>
  <c r="AA83" i="2"/>
  <c r="X83" i="2"/>
  <c r="G83" i="2"/>
  <c r="F83" i="2"/>
  <c r="E83" i="2"/>
  <c r="D83" i="2"/>
  <c r="C83" i="2"/>
  <c r="B83" i="2"/>
  <c r="A83" i="2"/>
  <c r="AA82" i="2"/>
  <c r="X82" i="2"/>
  <c r="G82" i="2"/>
  <c r="F82" i="2"/>
  <c r="E82" i="2"/>
  <c r="D82" i="2"/>
  <c r="C82" i="2"/>
  <c r="B82" i="2"/>
  <c r="A82" i="2"/>
  <c r="AA81" i="2"/>
  <c r="X81" i="2"/>
  <c r="G81" i="2"/>
  <c r="F81" i="2"/>
  <c r="E81" i="2"/>
  <c r="D81" i="2"/>
  <c r="C81" i="2"/>
  <c r="B81" i="2"/>
  <c r="A81" i="2"/>
  <c r="AA80" i="2"/>
  <c r="X80" i="2"/>
  <c r="G80" i="2"/>
  <c r="F80" i="2"/>
  <c r="E80" i="2"/>
  <c r="D80" i="2"/>
  <c r="C80" i="2"/>
  <c r="B80" i="2"/>
  <c r="A80" i="2"/>
  <c r="AA79" i="2"/>
  <c r="X79" i="2"/>
  <c r="G79" i="2"/>
  <c r="F79" i="2"/>
  <c r="E79" i="2"/>
  <c r="D79" i="2"/>
  <c r="C79" i="2"/>
  <c r="B79" i="2"/>
  <c r="A79" i="2"/>
  <c r="AA78" i="2"/>
  <c r="X78" i="2"/>
  <c r="G78" i="2"/>
  <c r="F78" i="2"/>
  <c r="E78" i="2"/>
  <c r="D78" i="2"/>
  <c r="C78" i="2"/>
  <c r="B78" i="2"/>
  <c r="A78" i="2"/>
  <c r="AA77" i="2"/>
  <c r="X77" i="2"/>
  <c r="G77" i="2"/>
  <c r="F77" i="2"/>
  <c r="E77" i="2"/>
  <c r="D77" i="2"/>
  <c r="C77" i="2"/>
  <c r="B77" i="2"/>
  <c r="A77" i="2"/>
  <c r="AA76" i="2"/>
  <c r="X76" i="2"/>
  <c r="G76" i="2"/>
  <c r="F76" i="2"/>
  <c r="E76" i="2"/>
  <c r="D76" i="2"/>
  <c r="C76" i="2"/>
  <c r="B76" i="2"/>
  <c r="A76" i="2"/>
  <c r="AA75" i="2"/>
  <c r="X75" i="2"/>
  <c r="G75" i="2"/>
  <c r="F75" i="2"/>
  <c r="E75" i="2"/>
  <c r="D75" i="2"/>
  <c r="C75" i="2"/>
  <c r="B75" i="2"/>
  <c r="A75" i="2"/>
  <c r="AA74" i="2"/>
  <c r="X74" i="2"/>
  <c r="G74" i="2"/>
  <c r="F74" i="2"/>
  <c r="E74" i="2"/>
  <c r="D74" i="2"/>
  <c r="C74" i="2"/>
  <c r="B74" i="2"/>
  <c r="A74" i="2"/>
  <c r="AA73" i="2"/>
  <c r="X73" i="2"/>
  <c r="G73" i="2"/>
  <c r="F73" i="2"/>
  <c r="E73" i="2"/>
  <c r="D73" i="2"/>
  <c r="C73" i="2"/>
  <c r="B73" i="2"/>
  <c r="A73" i="2"/>
  <c r="AA72" i="2"/>
  <c r="X72" i="2"/>
  <c r="G72" i="2"/>
  <c r="F72" i="2"/>
  <c r="E72" i="2"/>
  <c r="D72" i="2"/>
  <c r="C72" i="2"/>
  <c r="B72" i="2"/>
  <c r="A72" i="2"/>
  <c r="AA71" i="2"/>
  <c r="X71" i="2"/>
  <c r="G71" i="2"/>
  <c r="F71" i="2"/>
  <c r="E71" i="2"/>
  <c r="D71" i="2"/>
  <c r="C71" i="2"/>
  <c r="B71" i="2"/>
  <c r="A71" i="2"/>
  <c r="AA70" i="2"/>
  <c r="X70" i="2"/>
  <c r="G70" i="2"/>
  <c r="F70" i="2"/>
  <c r="E70" i="2"/>
  <c r="D70" i="2"/>
  <c r="C70" i="2"/>
  <c r="B70" i="2"/>
  <c r="A70" i="2"/>
  <c r="AA69" i="2"/>
  <c r="X69" i="2"/>
  <c r="G69" i="2"/>
  <c r="F69" i="2"/>
  <c r="E69" i="2"/>
  <c r="D69" i="2"/>
  <c r="C69" i="2"/>
  <c r="B69" i="2"/>
  <c r="A69" i="2"/>
  <c r="AA68" i="2"/>
  <c r="X68" i="2"/>
  <c r="G68" i="2"/>
  <c r="F68" i="2"/>
  <c r="E68" i="2"/>
  <c r="D68" i="2"/>
  <c r="C68" i="2"/>
  <c r="B68" i="2"/>
  <c r="A68" i="2"/>
  <c r="AA67" i="2"/>
  <c r="X67" i="2"/>
  <c r="G67" i="2"/>
  <c r="F67" i="2"/>
  <c r="E67" i="2"/>
  <c r="D67" i="2"/>
  <c r="C67" i="2"/>
  <c r="B67" i="2"/>
  <c r="A67" i="2"/>
  <c r="AA66" i="2"/>
  <c r="X66" i="2"/>
  <c r="G66" i="2"/>
  <c r="F66" i="2"/>
  <c r="E66" i="2"/>
  <c r="D66" i="2"/>
  <c r="C66" i="2"/>
  <c r="B66" i="2"/>
  <c r="A66" i="2"/>
  <c r="AA65" i="2"/>
  <c r="X65" i="2"/>
  <c r="G65" i="2"/>
  <c r="F65" i="2"/>
  <c r="E65" i="2"/>
  <c r="D65" i="2"/>
  <c r="C65" i="2"/>
  <c r="B65" i="2"/>
  <c r="A65" i="2"/>
  <c r="AA64" i="2"/>
  <c r="X64" i="2"/>
  <c r="G64" i="2"/>
  <c r="F64" i="2"/>
  <c r="E64" i="2"/>
  <c r="D64" i="2"/>
  <c r="C64" i="2"/>
  <c r="B64" i="2"/>
  <c r="A64" i="2"/>
  <c r="AA63" i="2"/>
  <c r="X63" i="2"/>
  <c r="G63" i="2"/>
  <c r="F63" i="2"/>
  <c r="E63" i="2"/>
  <c r="D63" i="2"/>
  <c r="C63" i="2"/>
  <c r="B63" i="2"/>
  <c r="A63" i="2"/>
  <c r="AA62" i="2"/>
  <c r="X62" i="2"/>
  <c r="G62" i="2"/>
  <c r="F62" i="2"/>
  <c r="E62" i="2"/>
  <c r="D62" i="2"/>
  <c r="C62" i="2"/>
  <c r="B62" i="2"/>
  <c r="A62" i="2"/>
  <c r="AA61" i="2"/>
  <c r="X61" i="2"/>
  <c r="G61" i="2"/>
  <c r="F61" i="2"/>
  <c r="E61" i="2"/>
  <c r="D61" i="2"/>
  <c r="C61" i="2"/>
  <c r="B61" i="2"/>
  <c r="A61" i="2"/>
  <c r="AA60" i="2"/>
  <c r="X60" i="2"/>
  <c r="G60" i="2"/>
  <c r="F60" i="2"/>
  <c r="E60" i="2"/>
  <c r="D60" i="2"/>
  <c r="C60" i="2"/>
  <c r="B60" i="2"/>
  <c r="A60" i="2"/>
  <c r="AA59" i="2"/>
  <c r="X59" i="2"/>
  <c r="G59" i="2"/>
  <c r="F59" i="2"/>
  <c r="E59" i="2"/>
  <c r="D59" i="2"/>
  <c r="C59" i="2"/>
  <c r="B59" i="2"/>
  <c r="A59" i="2"/>
  <c r="AA58" i="2"/>
  <c r="X58" i="2"/>
  <c r="G58" i="2"/>
  <c r="F58" i="2"/>
  <c r="E58" i="2"/>
  <c r="D58" i="2"/>
  <c r="C58" i="2"/>
  <c r="B58" i="2"/>
  <c r="A58" i="2"/>
  <c r="AA57" i="2"/>
  <c r="X57" i="2"/>
  <c r="G57" i="2"/>
  <c r="F57" i="2"/>
  <c r="E57" i="2"/>
  <c r="D57" i="2"/>
  <c r="C57" i="2"/>
  <c r="B57" i="2"/>
  <c r="A57" i="2"/>
  <c r="AA56" i="2"/>
  <c r="X56" i="2"/>
  <c r="G56" i="2"/>
  <c r="F56" i="2"/>
  <c r="E56" i="2"/>
  <c r="D56" i="2"/>
  <c r="C56" i="2"/>
  <c r="B56" i="2"/>
  <c r="A56" i="2"/>
  <c r="AA55" i="2"/>
  <c r="X55" i="2"/>
  <c r="G55" i="2"/>
  <c r="F55" i="2"/>
  <c r="E55" i="2"/>
  <c r="D55" i="2"/>
  <c r="C55" i="2"/>
  <c r="B55" i="2"/>
  <c r="A55" i="2"/>
  <c r="AA54" i="2"/>
  <c r="X54" i="2"/>
  <c r="G54" i="2"/>
  <c r="F54" i="2"/>
  <c r="E54" i="2"/>
  <c r="D54" i="2"/>
  <c r="C54" i="2"/>
  <c r="B54" i="2"/>
  <c r="A54" i="2"/>
  <c r="AA53" i="2"/>
  <c r="X53" i="2"/>
  <c r="G53" i="2"/>
  <c r="F53" i="2"/>
  <c r="E53" i="2"/>
  <c r="D53" i="2"/>
  <c r="C53" i="2"/>
  <c r="B53" i="2"/>
  <c r="A53" i="2"/>
  <c r="AA52" i="2"/>
  <c r="X52" i="2"/>
  <c r="G52" i="2"/>
  <c r="F52" i="2"/>
  <c r="E52" i="2"/>
  <c r="D52" i="2"/>
  <c r="C52" i="2"/>
  <c r="B52" i="2"/>
  <c r="A52" i="2"/>
  <c r="AA51" i="2"/>
  <c r="X51" i="2"/>
  <c r="G51" i="2"/>
  <c r="F51" i="2"/>
  <c r="E51" i="2"/>
  <c r="D51" i="2"/>
  <c r="C51" i="2"/>
  <c r="B51" i="2"/>
  <c r="A51" i="2"/>
  <c r="AA50" i="2"/>
  <c r="X50" i="2"/>
  <c r="G50" i="2"/>
  <c r="F50" i="2"/>
  <c r="E50" i="2"/>
  <c r="D50" i="2"/>
  <c r="C50" i="2"/>
  <c r="B50" i="2"/>
  <c r="A50" i="2"/>
  <c r="AA49" i="2"/>
  <c r="X49" i="2"/>
  <c r="G49" i="2"/>
  <c r="F49" i="2"/>
  <c r="E49" i="2"/>
  <c r="D49" i="2"/>
  <c r="C49" i="2"/>
  <c r="B49" i="2"/>
  <c r="A49" i="2"/>
  <c r="AA48" i="2"/>
  <c r="X48" i="2"/>
  <c r="G48" i="2"/>
  <c r="F48" i="2"/>
  <c r="E48" i="2"/>
  <c r="D48" i="2"/>
  <c r="C48" i="2"/>
  <c r="B48" i="2"/>
  <c r="A48" i="2"/>
  <c r="AA47" i="2"/>
  <c r="X47" i="2"/>
  <c r="G47" i="2"/>
  <c r="F47" i="2"/>
  <c r="E47" i="2"/>
  <c r="D47" i="2"/>
  <c r="C47" i="2"/>
  <c r="B47" i="2"/>
  <c r="A47" i="2"/>
  <c r="AA46" i="2"/>
  <c r="X46" i="2"/>
  <c r="G46" i="2"/>
  <c r="F46" i="2"/>
  <c r="E46" i="2"/>
  <c r="D46" i="2"/>
  <c r="C46" i="2"/>
  <c r="B46" i="2"/>
  <c r="A46" i="2"/>
  <c r="AA45" i="2"/>
  <c r="X45" i="2"/>
  <c r="G45" i="2"/>
  <c r="F45" i="2"/>
  <c r="E45" i="2"/>
  <c r="D45" i="2"/>
  <c r="C45" i="2"/>
  <c r="B45" i="2"/>
  <c r="A45" i="2"/>
  <c r="AA44" i="2"/>
  <c r="X44" i="2"/>
  <c r="G44" i="2"/>
  <c r="F44" i="2"/>
  <c r="E44" i="2"/>
  <c r="D44" i="2"/>
  <c r="C44" i="2"/>
  <c r="B44" i="2"/>
  <c r="A44" i="2"/>
  <c r="AA43" i="2"/>
  <c r="X43" i="2"/>
  <c r="G43" i="2"/>
  <c r="F43" i="2"/>
  <c r="E43" i="2"/>
  <c r="D43" i="2"/>
  <c r="C43" i="2"/>
  <c r="B43" i="2"/>
  <c r="A43" i="2"/>
  <c r="AA42" i="2"/>
  <c r="X42" i="2"/>
  <c r="G42" i="2"/>
  <c r="F42" i="2"/>
  <c r="E42" i="2"/>
  <c r="D42" i="2"/>
  <c r="C42" i="2"/>
  <c r="B42" i="2"/>
  <c r="A42" i="2"/>
  <c r="AA41" i="2"/>
  <c r="X41" i="2"/>
  <c r="G41" i="2"/>
  <c r="F41" i="2"/>
  <c r="E41" i="2"/>
  <c r="D41" i="2"/>
  <c r="C41" i="2"/>
  <c r="B41" i="2"/>
  <c r="A41" i="2"/>
  <c r="AA40" i="2"/>
  <c r="X40" i="2"/>
  <c r="G40" i="2"/>
  <c r="F40" i="2"/>
  <c r="E40" i="2"/>
  <c r="D40" i="2"/>
  <c r="C40" i="2"/>
  <c r="B40" i="2"/>
  <c r="A40" i="2"/>
  <c r="AA39" i="2"/>
  <c r="X39" i="2"/>
  <c r="G39" i="2"/>
  <c r="F39" i="2"/>
  <c r="E39" i="2"/>
  <c r="D39" i="2"/>
  <c r="C39" i="2"/>
  <c r="B39" i="2"/>
  <c r="A39" i="2"/>
  <c r="AA38" i="2"/>
  <c r="X38" i="2"/>
  <c r="G38" i="2"/>
  <c r="F38" i="2"/>
  <c r="E38" i="2"/>
  <c r="D38" i="2"/>
  <c r="C38" i="2"/>
  <c r="B38" i="2"/>
  <c r="A38" i="2"/>
  <c r="AA37" i="2"/>
  <c r="X37" i="2"/>
  <c r="G37" i="2"/>
  <c r="F37" i="2"/>
  <c r="E37" i="2"/>
  <c r="D37" i="2"/>
  <c r="C37" i="2"/>
  <c r="B37" i="2"/>
  <c r="A37" i="2"/>
  <c r="AA36" i="2"/>
  <c r="X36" i="2"/>
  <c r="G36" i="2"/>
  <c r="F36" i="2"/>
  <c r="E36" i="2"/>
  <c r="D36" i="2"/>
  <c r="C36" i="2"/>
  <c r="B36" i="2"/>
  <c r="A36" i="2"/>
  <c r="AA35" i="2"/>
  <c r="X35" i="2"/>
  <c r="G35" i="2"/>
  <c r="F35" i="2"/>
  <c r="E35" i="2"/>
  <c r="D35" i="2"/>
  <c r="C35" i="2"/>
  <c r="B35" i="2"/>
  <c r="A35" i="2"/>
  <c r="AA34" i="2"/>
  <c r="X34" i="2"/>
  <c r="G34" i="2"/>
  <c r="F34" i="2"/>
  <c r="E34" i="2"/>
  <c r="D34" i="2"/>
  <c r="C34" i="2"/>
  <c r="B34" i="2"/>
  <c r="A34" i="2"/>
  <c r="AA33" i="2"/>
  <c r="X33" i="2"/>
  <c r="G33" i="2"/>
  <c r="F33" i="2"/>
  <c r="E33" i="2"/>
  <c r="D33" i="2"/>
  <c r="C33" i="2"/>
  <c r="B33" i="2"/>
  <c r="A33" i="2"/>
  <c r="AA32" i="2"/>
  <c r="X32" i="2"/>
  <c r="G32" i="2"/>
  <c r="F32" i="2"/>
  <c r="E32" i="2"/>
  <c r="D32" i="2"/>
  <c r="C32" i="2"/>
  <c r="B32" i="2"/>
  <c r="A32" i="2"/>
  <c r="AA31" i="2"/>
  <c r="X31" i="2"/>
  <c r="G31" i="2"/>
  <c r="F31" i="2"/>
  <c r="E31" i="2"/>
  <c r="D31" i="2"/>
  <c r="C31" i="2"/>
  <c r="B31" i="2"/>
  <c r="A31" i="2"/>
  <c r="AA30" i="2"/>
  <c r="X30" i="2"/>
  <c r="G30" i="2"/>
  <c r="F30" i="2"/>
  <c r="E30" i="2"/>
  <c r="D30" i="2"/>
  <c r="C30" i="2"/>
  <c r="B30" i="2"/>
  <c r="A30" i="2"/>
  <c r="AA29" i="2"/>
  <c r="X29" i="2"/>
  <c r="G29" i="2"/>
  <c r="F29" i="2"/>
  <c r="E29" i="2"/>
  <c r="D29" i="2"/>
  <c r="C29" i="2"/>
  <c r="B29" i="2"/>
  <c r="A29" i="2"/>
  <c r="AA28" i="2"/>
  <c r="X28" i="2"/>
  <c r="G28" i="2"/>
  <c r="F28" i="2"/>
  <c r="E28" i="2"/>
  <c r="D28" i="2"/>
  <c r="C28" i="2"/>
  <c r="B28" i="2"/>
  <c r="A28" i="2"/>
  <c r="AA27" i="2"/>
  <c r="X27" i="2"/>
  <c r="G27" i="2"/>
  <c r="F27" i="2"/>
  <c r="E27" i="2"/>
  <c r="D27" i="2"/>
  <c r="C27" i="2"/>
  <c r="B27" i="2"/>
  <c r="A27" i="2"/>
  <c r="AA26" i="2"/>
  <c r="X26" i="2"/>
  <c r="G26" i="2"/>
  <c r="F26" i="2"/>
  <c r="E26" i="2"/>
  <c r="D26" i="2"/>
  <c r="C26" i="2"/>
  <c r="B26" i="2"/>
  <c r="A26" i="2"/>
  <c r="AA25" i="2"/>
  <c r="X25" i="2"/>
  <c r="G25" i="2"/>
  <c r="F25" i="2"/>
  <c r="E25" i="2"/>
  <c r="D25" i="2"/>
  <c r="C25" i="2"/>
  <c r="B25" i="2"/>
  <c r="A25" i="2"/>
  <c r="AA24" i="2"/>
  <c r="X24" i="2"/>
  <c r="G24" i="2"/>
  <c r="F24" i="2"/>
  <c r="E24" i="2"/>
  <c r="D24" i="2"/>
  <c r="C24" i="2"/>
  <c r="B24" i="2"/>
  <c r="A24" i="2"/>
  <c r="AA23" i="2"/>
  <c r="X23" i="2"/>
  <c r="G23" i="2"/>
  <c r="F23" i="2"/>
  <c r="E23" i="2"/>
  <c r="D23" i="2"/>
  <c r="C23" i="2"/>
  <c r="B23" i="2"/>
  <c r="A23" i="2"/>
  <c r="AA22" i="2"/>
  <c r="X22" i="2"/>
  <c r="G22" i="2"/>
  <c r="F22" i="2"/>
  <c r="E22" i="2"/>
  <c r="D22" i="2"/>
  <c r="C22" i="2"/>
  <c r="B22" i="2"/>
  <c r="A22" i="2"/>
  <c r="AA21" i="2"/>
  <c r="X21" i="2"/>
  <c r="G21" i="2"/>
  <c r="F21" i="2"/>
  <c r="E21" i="2"/>
  <c r="D21" i="2"/>
  <c r="C21" i="2"/>
  <c r="B21" i="2"/>
  <c r="A21" i="2"/>
  <c r="AA20" i="2"/>
  <c r="X20" i="2"/>
  <c r="G20" i="2"/>
  <c r="F20" i="2"/>
  <c r="E20" i="2"/>
  <c r="D20" i="2"/>
  <c r="C20" i="2"/>
  <c r="B20" i="2"/>
  <c r="A20" i="2"/>
  <c r="AA19" i="2"/>
  <c r="X19" i="2"/>
  <c r="G19" i="2"/>
  <c r="F19" i="2"/>
  <c r="E19" i="2"/>
  <c r="D19" i="2"/>
  <c r="C19" i="2"/>
  <c r="B19" i="2"/>
  <c r="A19" i="2"/>
  <c r="AA18" i="2"/>
  <c r="X18" i="2"/>
  <c r="G18" i="2"/>
  <c r="F18" i="2"/>
  <c r="E18" i="2"/>
  <c r="D18" i="2"/>
  <c r="C18" i="2"/>
  <c r="B18" i="2"/>
  <c r="A18" i="2"/>
  <c r="AA17" i="2"/>
  <c r="X17" i="2"/>
  <c r="G17" i="2"/>
  <c r="F17" i="2"/>
  <c r="E17" i="2"/>
  <c r="D17" i="2"/>
  <c r="C17" i="2"/>
  <c r="B17" i="2"/>
  <c r="A17" i="2"/>
  <c r="AA16" i="2"/>
  <c r="X16" i="2"/>
  <c r="G16" i="2"/>
  <c r="F16" i="2"/>
  <c r="E16" i="2"/>
  <c r="D16" i="2"/>
  <c r="C16" i="2"/>
  <c r="B16" i="2"/>
  <c r="A16" i="2"/>
  <c r="AA15" i="2"/>
  <c r="X15" i="2"/>
  <c r="G15" i="2"/>
  <c r="F15" i="2"/>
  <c r="E15" i="2"/>
  <c r="D15" i="2"/>
  <c r="C15" i="2"/>
  <c r="B15" i="2"/>
  <c r="A15" i="2"/>
  <c r="AA14" i="2"/>
  <c r="X14" i="2"/>
  <c r="G14" i="2"/>
  <c r="F14" i="2"/>
  <c r="E14" i="2"/>
  <c r="D14" i="2"/>
  <c r="C14" i="2"/>
  <c r="B14" i="2"/>
  <c r="A14" i="2"/>
  <c r="AA13" i="2"/>
  <c r="X13" i="2"/>
  <c r="G13" i="2"/>
  <c r="F13" i="2"/>
  <c r="E13" i="2"/>
  <c r="D13" i="2"/>
  <c r="C13" i="2"/>
  <c r="B13" i="2"/>
  <c r="A13" i="2"/>
  <c r="AA12" i="2"/>
  <c r="X12" i="2"/>
  <c r="G12" i="2"/>
  <c r="F12" i="2"/>
  <c r="E12" i="2"/>
  <c r="D12" i="2"/>
  <c r="C12" i="2"/>
  <c r="B12" i="2"/>
  <c r="A12" i="2"/>
  <c r="AA11" i="2"/>
  <c r="X11" i="2"/>
  <c r="G11" i="2"/>
  <c r="F11" i="2"/>
  <c r="E11" i="2"/>
  <c r="D11" i="2"/>
  <c r="C11" i="2"/>
  <c r="B11" i="2"/>
  <c r="A11" i="2"/>
  <c r="AA10" i="2"/>
  <c r="X10" i="2"/>
  <c r="G10" i="2"/>
  <c r="F10" i="2"/>
  <c r="E10" i="2"/>
  <c r="D10" i="2"/>
  <c r="C10" i="2"/>
  <c r="B10" i="2"/>
  <c r="A10" i="2"/>
  <c r="AA9" i="2"/>
  <c r="X9" i="2"/>
  <c r="G9" i="2"/>
  <c r="F9" i="2"/>
  <c r="E9" i="2"/>
  <c r="D9" i="2"/>
  <c r="C9" i="2"/>
  <c r="B9" i="2"/>
  <c r="A9" i="2"/>
  <c r="AA8" i="2"/>
  <c r="X8" i="2"/>
  <c r="G8" i="2"/>
  <c r="F8" i="2"/>
  <c r="E8" i="2"/>
  <c r="D8" i="2"/>
  <c r="C8" i="2"/>
  <c r="B8" i="2"/>
  <c r="A8" i="2"/>
  <c r="AA7" i="2"/>
  <c r="X7" i="2"/>
  <c r="G7" i="2"/>
  <c r="F7" i="2"/>
  <c r="E7" i="2"/>
  <c r="D7" i="2"/>
  <c r="C7" i="2"/>
  <c r="B7" i="2"/>
  <c r="A7" i="2"/>
  <c r="AA6" i="2"/>
  <c r="X6" i="2"/>
  <c r="G6" i="2"/>
  <c r="F6" i="2"/>
  <c r="E6" i="2"/>
  <c r="D6" i="2"/>
  <c r="C6" i="2"/>
  <c r="B6" i="2"/>
  <c r="A6" i="2"/>
  <c r="AA5" i="2"/>
  <c r="X5" i="2"/>
  <c r="G5" i="2"/>
  <c r="F5" i="2"/>
  <c r="E5" i="2"/>
  <c r="D5" i="2"/>
  <c r="C5" i="2"/>
  <c r="B5" i="2"/>
  <c r="A5" i="2"/>
  <c r="AA4" i="2"/>
  <c r="X4" i="2"/>
  <c r="G4" i="2"/>
  <c r="F4" i="2"/>
  <c r="E4" i="2"/>
  <c r="D4" i="2"/>
  <c r="C4" i="2"/>
  <c r="B4" i="2"/>
  <c r="A4" i="2"/>
  <c r="AA3" i="2"/>
  <c r="X3" i="2"/>
  <c r="G3" i="2"/>
  <c r="F3" i="2"/>
  <c r="E3" i="2"/>
  <c r="D3" i="2"/>
  <c r="C3" i="2"/>
  <c r="B3" i="2"/>
  <c r="A3" i="2"/>
</calcChain>
</file>

<file path=xl/sharedStrings.xml><?xml version="1.0" encoding="utf-8"?>
<sst xmlns="http://schemas.openxmlformats.org/spreadsheetml/2006/main" count="71" uniqueCount="50">
  <si>
    <t>주식채권</t>
  </si>
  <si>
    <t>주문번호</t>
  </si>
  <si>
    <t>원주문번호</t>
  </si>
  <si>
    <t>종목번호</t>
  </si>
  <si>
    <t>매매구분</t>
  </si>
  <si>
    <t>주문유형구분</t>
  </si>
  <si>
    <t>주문수량</t>
  </si>
  <si>
    <t>주문단가</t>
  </si>
  <si>
    <t>확인수량</t>
  </si>
  <si>
    <t>체결번호</t>
  </si>
  <si>
    <t>스톱가</t>
  </si>
  <si>
    <t>💡 사용법</t>
  </si>
  <si>
    <t>주문일자</t>
  </si>
  <si>
    <t>종목명</t>
  </si>
  <si>
    <t>접수구분</t>
  </si>
  <si>
    <t>신용거래구분</t>
  </si>
  <si>
    <t>체결수량</t>
  </si>
  <si>
    <t>체결평균단가</t>
  </si>
  <si>
    <t>정정/취소</t>
  </si>
  <si>
    <t>통신</t>
  </si>
  <si>
    <t>예약/반대</t>
  </si>
  <si>
    <t>체결시간</t>
  </si>
  <si>
    <t>거래소</t>
  </si>
  <si>
    <t>1. 키움 체결내역을 헤더 포함 통째로 복사</t>
  </si>
  <si>
    <t>2. 이 시트 A1 셀에 붙여넣기 (헤더 덮어써짐 - 정상)</t>
  </si>
  <si>
    <t>3. "평탄화" 시트에 자동 변환됨</t>
  </si>
  <si>
    <t>4. 계좌번호는 평탄화 시트 B1에 입력</t>
  </si>
  <si>
    <t>※ 데이터 3행부터 2줄/건 구조 유지 필수</t>
  </si>
  <si>
    <t>계좌번호 →</t>
  </si>
  <si>
    <t>⬅ 여기에 계좌번호 입력하면 A열에 자동 채워짐</t>
  </si>
  <si>
    <t>계좌번호</t>
  </si>
  <si>
    <t>거래일자</t>
  </si>
  <si>
    <t>거래종류</t>
  </si>
  <si>
    <t>거래수량</t>
  </si>
  <si>
    <t>거래단가</t>
  </si>
  <si>
    <t>정산금액</t>
  </si>
  <si>
    <t>예수금</t>
  </si>
  <si>
    <t>종목코드</t>
  </si>
  <si>
    <t>rationale</t>
  </si>
  <si>
    <t>체결</t>
  </si>
  <si>
    <t>체결일</t>
  </si>
  <si>
    <t>주식</t>
  </si>
  <si>
    <t>195870</t>
  </si>
  <si>
    <t>지정가</t>
  </si>
  <si>
    <t>현금매도</t>
  </si>
  <si>
    <t>해성디에스</t>
  </si>
  <si>
    <t>접수</t>
  </si>
  <si>
    <t>보통매매</t>
  </si>
  <si>
    <t>영웅문S#</t>
  </si>
  <si>
    <t>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</si>
</sst>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9"/>
      <color rgb="FF606060"/>
      <name val="맑은 고딕"/>
      <family val="3"/>
      <charset val="129"/>
    </font>
    <font>
      <b/>
      <sz val="11"/>
      <name val="맑은 고딕"/>
      <family val="3"/>
      <charset val="129"/>
    </font>
    <font>
      <i/>
      <sz val="10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7E7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5" fillId="3" borderId="0" xfId="0" applyFont="1" applyFill="1" applyAlignment="1">
      <alignment horizontal="center"/>
    </xf>
    <xf numFmtId="0" fontId="6" fillId="0" borderId="0" xfId="0" applyFont="1"/>
    <xf numFmtId="0" fontId="1" fillId="0" borderId="0" xfId="1">
      <alignment vertical="center"/>
    </xf>
    <xf numFmtId="0" fontId="1" fillId="0" borderId="0" xfId="1" quotePrefix="1">
      <alignment vertical="center"/>
    </xf>
    <xf numFmtId="3" fontId="1" fillId="0" borderId="0" xfId="1" applyNumberFormat="1">
      <alignment vertical="center"/>
    </xf>
    <xf numFmtId="14" fontId="1" fillId="0" borderId="0" xfId="1" applyNumberFormat="1">
      <alignment vertical="center"/>
    </xf>
    <xf numFmtId="21" fontId="1" fillId="0" borderId="0" xfId="1" applyNumberFormat="1">
      <alignment vertical="center"/>
    </xf>
    <xf numFmtId="14" fontId="0" fillId="0" borderId="0" xfId="0" applyNumberFormat="1"/>
  </cellXfs>
  <cellStyles count="2">
    <cellStyle name="표준" xfId="0" builtinId="0"/>
    <cellStyle name="표준 2" xfId="1" xr:uid="{D4E088DC-1F76-4B6F-9783-341DD2ADBD6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workbookViewId="0">
      <selection sqref="A1:N8"/>
    </sheetView>
  </sheetViews>
  <sheetFormatPr defaultRowHeight="16.5" x14ac:dyDescent="0.3"/>
  <cols>
    <col min="1" max="1" width="18.625" customWidth="1"/>
    <col min="2" max="5" width="10" customWidth="1"/>
    <col min="6" max="6" width="12" customWidth="1"/>
    <col min="7" max="9" width="10" customWidth="1"/>
    <col min="10" max="10" width="6" customWidth="1"/>
    <col min="11" max="11" width="10" customWidth="1"/>
    <col min="12" max="12" width="8" customWidth="1"/>
    <col min="13" max="13" width="3" customWidth="1"/>
    <col min="14" max="14" width="45" customWidth="1"/>
  </cols>
  <sheetData>
    <row r="1" spans="1:14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" t="s">
        <v>10</v>
      </c>
      <c r="N1" s="2" t="s">
        <v>11</v>
      </c>
    </row>
    <row r="2" spans="1:14" x14ac:dyDescent="0.3">
      <c r="A2" s="7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8" t="s">
        <v>18</v>
      </c>
      <c r="H2" s="7" t="s">
        <v>19</v>
      </c>
      <c r="I2" s="8" t="s">
        <v>20</v>
      </c>
      <c r="J2" s="7" t="s">
        <v>21</v>
      </c>
      <c r="K2" s="7" t="s">
        <v>22</v>
      </c>
      <c r="N2" s="3" t="s">
        <v>23</v>
      </c>
    </row>
    <row r="3" spans="1:14" x14ac:dyDescent="0.3">
      <c r="A3" s="7" t="s">
        <v>41</v>
      </c>
      <c r="B3" s="7">
        <v>73447</v>
      </c>
      <c r="C3" s="7"/>
      <c r="D3" s="8" t="s">
        <v>42</v>
      </c>
      <c r="E3" s="7" t="s">
        <v>43</v>
      </c>
      <c r="F3" s="7" t="s">
        <v>44</v>
      </c>
      <c r="G3" s="7">
        <v>20</v>
      </c>
      <c r="H3" s="9">
        <v>93200</v>
      </c>
      <c r="I3" s="7">
        <v>0</v>
      </c>
      <c r="J3" s="9">
        <v>5216</v>
      </c>
      <c r="K3" s="7">
        <v>0</v>
      </c>
      <c r="N3" s="3" t="s">
        <v>24</v>
      </c>
    </row>
    <row r="4" spans="1:14" x14ac:dyDescent="0.3">
      <c r="A4" s="10">
        <v>46170</v>
      </c>
      <c r="B4" s="7" t="s">
        <v>45</v>
      </c>
      <c r="C4" s="7" t="s">
        <v>46</v>
      </c>
      <c r="D4" s="7" t="s">
        <v>47</v>
      </c>
      <c r="E4" s="7">
        <v>8</v>
      </c>
      <c r="F4" s="9">
        <v>93200</v>
      </c>
      <c r="G4" s="7"/>
      <c r="H4" s="7" t="s">
        <v>48</v>
      </c>
      <c r="I4" s="7"/>
      <c r="J4" s="11">
        <v>0.35646990740740742</v>
      </c>
      <c r="K4" s="7" t="s">
        <v>49</v>
      </c>
      <c r="N4" s="3" t="s">
        <v>25</v>
      </c>
    </row>
    <row r="5" spans="1:14" x14ac:dyDescent="0.3">
      <c r="A5" s="7" t="s">
        <v>41</v>
      </c>
      <c r="B5" s="7">
        <v>73447</v>
      </c>
      <c r="C5" s="7"/>
      <c r="D5" s="8" t="s">
        <v>42</v>
      </c>
      <c r="E5" s="7" t="s">
        <v>43</v>
      </c>
      <c r="F5" s="7" t="s">
        <v>44</v>
      </c>
      <c r="G5" s="7">
        <v>20</v>
      </c>
      <c r="H5" s="9">
        <v>93200</v>
      </c>
      <c r="I5" s="7">
        <v>0</v>
      </c>
      <c r="J5" s="9">
        <v>5217</v>
      </c>
      <c r="K5" s="7">
        <v>0</v>
      </c>
      <c r="N5" s="3" t="s">
        <v>26</v>
      </c>
    </row>
    <row r="6" spans="1:14" x14ac:dyDescent="0.3">
      <c r="A6" s="10">
        <v>46170</v>
      </c>
      <c r="B6" s="7" t="s">
        <v>45</v>
      </c>
      <c r="C6" s="7" t="s">
        <v>46</v>
      </c>
      <c r="D6" s="7" t="s">
        <v>47</v>
      </c>
      <c r="E6" s="7">
        <v>5</v>
      </c>
      <c r="F6" s="9">
        <v>93200</v>
      </c>
      <c r="G6" s="7"/>
      <c r="H6" s="7" t="s">
        <v>48</v>
      </c>
      <c r="I6" s="7"/>
      <c r="J6" s="11">
        <v>0.35650462962962964</v>
      </c>
      <c r="K6" s="7" t="s">
        <v>49</v>
      </c>
      <c r="N6" s="3" t="s">
        <v>27</v>
      </c>
    </row>
    <row r="7" spans="1:14" x14ac:dyDescent="0.3">
      <c r="A7" s="7" t="s">
        <v>41</v>
      </c>
      <c r="B7" s="7">
        <v>73447</v>
      </c>
      <c r="C7" s="7"/>
      <c r="D7" s="8" t="s">
        <v>42</v>
      </c>
      <c r="E7" s="7" t="s">
        <v>43</v>
      </c>
      <c r="F7" s="7" t="s">
        <v>44</v>
      </c>
      <c r="G7" s="7">
        <v>20</v>
      </c>
      <c r="H7" s="9">
        <v>93200</v>
      </c>
      <c r="I7" s="7">
        <v>0</v>
      </c>
      <c r="J7" s="9">
        <v>5218</v>
      </c>
      <c r="K7" s="7">
        <v>0</v>
      </c>
    </row>
    <row r="8" spans="1:14" x14ac:dyDescent="0.3">
      <c r="A8" s="10">
        <v>46170</v>
      </c>
      <c r="B8" s="7" t="s">
        <v>45</v>
      </c>
      <c r="C8" s="7" t="s">
        <v>46</v>
      </c>
      <c r="D8" s="7" t="s">
        <v>47</v>
      </c>
      <c r="E8" s="7">
        <v>7</v>
      </c>
      <c r="F8" s="9">
        <v>93200</v>
      </c>
      <c r="G8" s="7"/>
      <c r="H8" s="7" t="s">
        <v>48</v>
      </c>
      <c r="I8" s="7"/>
      <c r="J8" s="11">
        <v>0.35652777777777778</v>
      </c>
      <c r="K8" s="7" t="s">
        <v>49</v>
      </c>
    </row>
  </sheetData>
  <phoneticPr fontId="7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02"/>
  <sheetViews>
    <sheetView tabSelected="1" zoomScale="70" zoomScaleNormal="70" workbookViewId="0">
      <pane ySplit="2" topLeftCell="A3" activePane="bottomLeft" state="frozen"/>
      <selection pane="bottomLeft" sqref="A1:AA5"/>
    </sheetView>
  </sheetViews>
  <sheetFormatPr defaultRowHeight="16.5" x14ac:dyDescent="0.3"/>
  <cols>
    <col min="1" max="1" width="14" customWidth="1"/>
    <col min="2" max="2" width="16" customWidth="1"/>
    <col min="3" max="3" width="8" customWidth="1"/>
    <col min="4" max="4" width="50" customWidth="1"/>
    <col min="5" max="5" width="16" customWidth="1"/>
    <col min="6" max="6" width="10" customWidth="1"/>
    <col min="7" max="7" width="12" customWidth="1"/>
    <col min="12" max="12" width="12" customWidth="1"/>
    <col min="16" max="16" width="12" customWidth="1"/>
    <col min="24" max="24" width="10" customWidth="1"/>
    <col min="25" max="25" width="14" customWidth="1"/>
    <col min="26" max="26" width="6" customWidth="1"/>
    <col min="27" max="27" width="12" customWidth="1"/>
  </cols>
  <sheetData>
    <row r="1" spans="1:27" ht="21.95" customHeight="1" x14ac:dyDescent="0.3">
      <c r="A1" s="4" t="s">
        <v>28</v>
      </c>
      <c r="B1" s="5"/>
      <c r="D1" s="6" t="s">
        <v>29</v>
      </c>
    </row>
    <row r="2" spans="1:27" ht="20.100000000000001" customHeight="1" x14ac:dyDescent="0.3">
      <c r="A2" s="1" t="s">
        <v>30</v>
      </c>
      <c r="B2" s="1" t="s">
        <v>31</v>
      </c>
      <c r="C2" s="1" t="s">
        <v>22</v>
      </c>
      <c r="D2" s="1" t="s">
        <v>13</v>
      </c>
      <c r="E2" s="1" t="s">
        <v>32</v>
      </c>
      <c r="F2" s="1" t="s">
        <v>33</v>
      </c>
      <c r="G2" s="1" t="s">
        <v>34</v>
      </c>
      <c r="L2" s="1" t="s">
        <v>35</v>
      </c>
      <c r="P2" s="1" t="s">
        <v>36</v>
      </c>
      <c r="X2" s="1" t="s">
        <v>37</v>
      </c>
      <c r="Y2" s="1" t="s">
        <v>38</v>
      </c>
      <c r="Z2" s="1" t="s">
        <v>39</v>
      </c>
      <c r="AA2" s="1" t="s">
        <v>40</v>
      </c>
    </row>
    <row r="3" spans="1:27" x14ac:dyDescent="0.3">
      <c r="A3">
        <f>IF(INDEX(키움raw!A:A,2*ROW()-2)="","",$B$1)</f>
        <v>0</v>
      </c>
      <c r="B3" s="12">
        <f>IF(INDEX(키움raw!A:A,2*ROW()-2)="","",INDEX(키움raw!A:A,2*ROW()-2))</f>
        <v>46170</v>
      </c>
      <c r="C3" t="str">
        <f>IF(INDEX(키움raw!A:A,2*ROW()-2)="","",INDEX(키움raw!K:K,2*ROW()-2))</f>
        <v>SOR</v>
      </c>
      <c r="D3" t="str">
        <f>IF(INDEX(키움raw!A:A,2*ROW()-2)="","",INDEX(키움raw!B:B,2*ROW()-2))</f>
        <v>해성디에스</v>
      </c>
      <c r="E3" t="str">
        <f>IF(INDEX(키움raw!A:A,2*ROW()-2)="","",INDEX(키움raw!D:D,2*ROW()-2)&amp;" "&amp;SUBSTITUTE(SUBSTITUTE(INDEX(키움raw!F:F,2*ROW()-3),"현금매수","장내매수"),"현금매도","장내매도"))</f>
        <v>보통매매 장내매도</v>
      </c>
      <c r="F3">
        <f>IF(INDEX(키움raw!A:A,2*ROW()-2)="","",INDEX(키움raw!E:E,2*ROW()-2))</f>
        <v>8</v>
      </c>
      <c r="G3">
        <f>IF(INDEX(키움raw!A:A,2*ROW()-2)="","",INDEX(키움raw!F:F,2*ROW()-2))</f>
        <v>93200</v>
      </c>
      <c r="L3">
        <f>G3*F3</f>
        <v>745600</v>
      </c>
      <c r="X3" t="str">
        <f>IF(INDEX(키움raw!A:A,2*ROW()-2)="","",TEXT(INDEX(키움raw!D:D,2*ROW()-3),"000000"))</f>
        <v>195870</v>
      </c>
      <c r="AA3">
        <f>IF(INDEX(키움raw!A:A,2*ROW()-2)="","",INDEX(키움raw!A:A,2*ROW()-2))</f>
        <v>46170</v>
      </c>
    </row>
    <row r="4" spans="1:27" x14ac:dyDescent="0.3">
      <c r="A4">
        <f>IF(INDEX(키움raw!A:A,2*ROW()-2)="","",$B$1)</f>
        <v>0</v>
      </c>
      <c r="B4" s="12">
        <f>IF(INDEX(키움raw!A:A,2*ROW()-2)="","",INDEX(키움raw!A:A,2*ROW()-2))</f>
        <v>46170</v>
      </c>
      <c r="C4" t="str">
        <f>IF(INDEX(키움raw!A:A,2*ROW()-2)="","",INDEX(키움raw!K:K,2*ROW()-2))</f>
        <v>SOR</v>
      </c>
      <c r="D4" t="str">
        <f>IF(INDEX(키움raw!A:A,2*ROW()-2)="","",INDEX(키움raw!B:B,2*ROW()-2))</f>
        <v>해성디에스</v>
      </c>
      <c r="E4" t="str">
        <f>IF(INDEX(키움raw!A:A,2*ROW()-2)="","",INDEX(키움raw!D:D,2*ROW()-2)&amp;" "&amp;SUBSTITUTE(SUBSTITUTE(INDEX(키움raw!F:F,2*ROW()-3),"현금매수","장내매수"),"현금매도","장내매도"))</f>
        <v>보통매매 장내매도</v>
      </c>
      <c r="F4">
        <f>IF(INDEX(키움raw!A:A,2*ROW()-2)="","",INDEX(키움raw!E:E,2*ROW()-2))</f>
        <v>5</v>
      </c>
      <c r="G4">
        <f>IF(INDEX(키움raw!A:A,2*ROW()-2)="","",INDEX(키움raw!F:F,2*ROW()-2))</f>
        <v>93200</v>
      </c>
      <c r="L4">
        <f t="shared" ref="L4:L5" si="0">G4*F4</f>
        <v>466000</v>
      </c>
      <c r="X4" t="str">
        <f>IF(INDEX(키움raw!A:A,2*ROW()-2)="","",TEXT(INDEX(키움raw!D:D,2*ROW()-3),"000000"))</f>
        <v>195870</v>
      </c>
      <c r="AA4">
        <f>IF(INDEX(키움raw!A:A,2*ROW()-2)="","",INDEX(키움raw!A:A,2*ROW()-2))</f>
        <v>46170</v>
      </c>
    </row>
    <row r="5" spans="1:27" x14ac:dyDescent="0.3">
      <c r="A5">
        <f>IF(INDEX(키움raw!A:A,2*ROW()-2)="","",$B$1)</f>
        <v>0</v>
      </c>
      <c r="B5" s="12">
        <f>IF(INDEX(키움raw!A:A,2*ROW()-2)="","",INDEX(키움raw!A:A,2*ROW()-2))</f>
        <v>46170</v>
      </c>
      <c r="C5" t="str">
        <f>IF(INDEX(키움raw!A:A,2*ROW()-2)="","",INDEX(키움raw!K:K,2*ROW()-2))</f>
        <v>SOR</v>
      </c>
      <c r="D5" t="str">
        <f>IF(INDEX(키움raw!A:A,2*ROW()-2)="","",INDEX(키움raw!B:B,2*ROW()-2))</f>
        <v>해성디에스</v>
      </c>
      <c r="E5" t="str">
        <f>IF(INDEX(키움raw!A:A,2*ROW()-2)="","",INDEX(키움raw!D:D,2*ROW()-2)&amp;" "&amp;SUBSTITUTE(SUBSTITUTE(INDEX(키움raw!F:F,2*ROW()-3),"현금매수","장내매수"),"현금매도","장내매도"))</f>
        <v>보통매매 장내매도</v>
      </c>
      <c r="F5">
        <f>IF(INDEX(키움raw!A:A,2*ROW()-2)="","",INDEX(키움raw!E:E,2*ROW()-2))</f>
        <v>7</v>
      </c>
      <c r="G5">
        <f>IF(INDEX(키움raw!A:A,2*ROW()-2)="","",INDEX(키움raw!F:F,2*ROW()-2))</f>
        <v>93200</v>
      </c>
      <c r="L5">
        <f t="shared" si="0"/>
        <v>652400</v>
      </c>
      <c r="X5" t="str">
        <f>IF(INDEX(키움raw!A:A,2*ROW()-2)="","",TEXT(INDEX(키움raw!D:D,2*ROW()-3),"000000"))</f>
        <v>195870</v>
      </c>
      <c r="AA5">
        <f>IF(INDEX(키움raw!A:A,2*ROW()-2)="","",INDEX(키움raw!A:A,2*ROW()-2))</f>
        <v>46170</v>
      </c>
    </row>
    <row r="6" spans="1:27" x14ac:dyDescent="0.3">
      <c r="A6" t="str">
        <f>IF(INDEX(키움raw!A:A,2*ROW()-2)="","",$B$1)</f>
        <v/>
      </c>
      <c r="B6" t="str">
        <f>IF(INDEX(키움raw!A:A,2*ROW()-2)="","",INDEX(키움raw!A:A,2*ROW()-2))</f>
        <v/>
      </c>
      <c r="C6" t="str">
        <f>IF(INDEX(키움raw!A:A,2*ROW()-2)="","",INDEX(키움raw!K:K,2*ROW()-2))</f>
        <v/>
      </c>
      <c r="D6" t="str">
        <f>IF(INDEX(키움raw!A:A,2*ROW()-2)="","",INDEX(키움raw!B:B,2*ROW()-2))</f>
        <v/>
      </c>
      <c r="E6" t="str">
        <f>IF(INDEX(키움raw!A:A,2*ROW()-2)="","",INDEX(키움raw!D:D,2*ROW()-2)&amp;" "&amp;SUBSTITUTE(SUBSTITUTE(INDEX(키움raw!F:F,2*ROW()-3),"현금매수","장내매수"),"현금매도","장내매도"))</f>
        <v/>
      </c>
      <c r="F6" t="str">
        <f>IF(INDEX(키움raw!A:A,2*ROW()-2)="","",INDEX(키움raw!E:E,2*ROW()-2))</f>
        <v/>
      </c>
      <c r="G6" t="str">
        <f>IF(INDEX(키움raw!A:A,2*ROW()-2)="","",INDEX(키움raw!F:F,2*ROW()-2))</f>
        <v/>
      </c>
      <c r="X6" t="str">
        <f>IF(INDEX(키움raw!A:A,2*ROW()-2)="","",TEXT(INDEX(키움raw!D:D,2*ROW()-3),"000000"))</f>
        <v/>
      </c>
      <c r="AA6" t="str">
        <f>IF(INDEX(키움raw!A:A,2*ROW()-2)="","",INDEX(키움raw!A:A,2*ROW()-2))</f>
        <v/>
      </c>
    </row>
    <row r="7" spans="1:27" x14ac:dyDescent="0.3">
      <c r="A7" t="str">
        <f>IF(INDEX(키움raw!A:A,2*ROW()-2)="","",$B$1)</f>
        <v/>
      </c>
      <c r="B7" t="str">
        <f>IF(INDEX(키움raw!A:A,2*ROW()-2)="","",INDEX(키움raw!A:A,2*ROW()-2))</f>
        <v/>
      </c>
      <c r="C7" t="str">
        <f>IF(INDEX(키움raw!A:A,2*ROW()-2)="","",INDEX(키움raw!K:K,2*ROW()-2))</f>
        <v/>
      </c>
      <c r="D7" t="str">
        <f>IF(INDEX(키움raw!A:A,2*ROW()-2)="","",INDEX(키움raw!B:B,2*ROW()-2))</f>
        <v/>
      </c>
      <c r="E7" t="str">
        <f>IF(INDEX(키움raw!A:A,2*ROW()-2)="","",INDEX(키움raw!D:D,2*ROW()-2)&amp;" "&amp;SUBSTITUTE(SUBSTITUTE(INDEX(키움raw!F:F,2*ROW()-3),"현금매수","장내매수"),"현금매도","장내매도"))</f>
        <v/>
      </c>
      <c r="F7" t="str">
        <f>IF(INDEX(키움raw!A:A,2*ROW()-2)="","",INDEX(키움raw!E:E,2*ROW()-2))</f>
        <v/>
      </c>
      <c r="G7" t="str">
        <f>IF(INDEX(키움raw!A:A,2*ROW()-2)="","",INDEX(키움raw!F:F,2*ROW()-2))</f>
        <v/>
      </c>
      <c r="X7" t="str">
        <f>IF(INDEX(키움raw!A:A,2*ROW()-2)="","",TEXT(INDEX(키움raw!D:D,2*ROW()-3),"000000"))</f>
        <v/>
      </c>
      <c r="AA7" t="str">
        <f>IF(INDEX(키움raw!A:A,2*ROW()-2)="","",INDEX(키움raw!A:A,2*ROW()-2))</f>
        <v/>
      </c>
    </row>
    <row r="8" spans="1:27" x14ac:dyDescent="0.3">
      <c r="A8" t="str">
        <f>IF(INDEX(키움raw!A:A,2*ROW()-2)="","",$B$1)</f>
        <v/>
      </c>
      <c r="B8" t="str">
        <f>IF(INDEX(키움raw!A:A,2*ROW()-2)="","",INDEX(키움raw!A:A,2*ROW()-2))</f>
        <v/>
      </c>
      <c r="C8" t="str">
        <f>IF(INDEX(키움raw!A:A,2*ROW()-2)="","",INDEX(키움raw!K:K,2*ROW()-2))</f>
        <v/>
      </c>
      <c r="D8" t="str">
        <f>IF(INDEX(키움raw!A:A,2*ROW()-2)="","",INDEX(키움raw!B:B,2*ROW()-2))</f>
        <v/>
      </c>
      <c r="E8" t="str">
        <f>IF(INDEX(키움raw!A:A,2*ROW()-2)="","",INDEX(키움raw!D:D,2*ROW()-2)&amp;" "&amp;SUBSTITUTE(SUBSTITUTE(INDEX(키움raw!F:F,2*ROW()-3),"현금매수","장내매수"),"현금매도","장내매도"))</f>
        <v/>
      </c>
      <c r="F8" t="str">
        <f>IF(INDEX(키움raw!A:A,2*ROW()-2)="","",INDEX(키움raw!E:E,2*ROW()-2))</f>
        <v/>
      </c>
      <c r="G8" t="str">
        <f>IF(INDEX(키움raw!A:A,2*ROW()-2)="","",INDEX(키움raw!F:F,2*ROW()-2))</f>
        <v/>
      </c>
      <c r="X8" t="str">
        <f>IF(INDEX(키움raw!A:A,2*ROW()-2)="","",TEXT(INDEX(키움raw!D:D,2*ROW()-3),"000000"))</f>
        <v/>
      </c>
      <c r="AA8" t="str">
        <f>IF(INDEX(키움raw!A:A,2*ROW()-2)="","",INDEX(키움raw!A:A,2*ROW()-2))</f>
        <v/>
      </c>
    </row>
    <row r="9" spans="1:27" x14ac:dyDescent="0.3">
      <c r="A9" t="str">
        <f>IF(INDEX(키움raw!A:A,2*ROW()-2)="","",$B$1)</f>
        <v/>
      </c>
      <c r="B9" t="str">
        <f>IF(INDEX(키움raw!A:A,2*ROW()-2)="","",INDEX(키움raw!A:A,2*ROW()-2))</f>
        <v/>
      </c>
      <c r="C9" t="str">
        <f>IF(INDEX(키움raw!A:A,2*ROW()-2)="","",INDEX(키움raw!K:K,2*ROW()-2))</f>
        <v/>
      </c>
      <c r="D9" t="str">
        <f>IF(INDEX(키움raw!A:A,2*ROW()-2)="","",INDEX(키움raw!B:B,2*ROW()-2))</f>
        <v/>
      </c>
      <c r="E9" t="str">
        <f>IF(INDEX(키움raw!A:A,2*ROW()-2)="","",INDEX(키움raw!D:D,2*ROW()-2)&amp;" "&amp;SUBSTITUTE(SUBSTITUTE(INDEX(키움raw!F:F,2*ROW()-3),"현금매수","장내매수"),"현금매도","장내매도"))</f>
        <v/>
      </c>
      <c r="F9" t="str">
        <f>IF(INDEX(키움raw!A:A,2*ROW()-2)="","",INDEX(키움raw!E:E,2*ROW()-2))</f>
        <v/>
      </c>
      <c r="G9" t="str">
        <f>IF(INDEX(키움raw!A:A,2*ROW()-2)="","",INDEX(키움raw!F:F,2*ROW()-2))</f>
        <v/>
      </c>
      <c r="X9" t="str">
        <f>IF(INDEX(키움raw!A:A,2*ROW()-2)="","",TEXT(INDEX(키움raw!D:D,2*ROW()-3),"000000"))</f>
        <v/>
      </c>
      <c r="AA9" t="str">
        <f>IF(INDEX(키움raw!A:A,2*ROW()-2)="","",INDEX(키움raw!A:A,2*ROW()-2))</f>
        <v/>
      </c>
    </row>
    <row r="10" spans="1:27" x14ac:dyDescent="0.3">
      <c r="A10" t="str">
        <f>IF(INDEX(키움raw!A:A,2*ROW()-2)="","",$B$1)</f>
        <v/>
      </c>
      <c r="B10" t="str">
        <f>IF(INDEX(키움raw!A:A,2*ROW()-2)="","",INDEX(키움raw!A:A,2*ROW()-2))</f>
        <v/>
      </c>
      <c r="C10" t="str">
        <f>IF(INDEX(키움raw!A:A,2*ROW()-2)="","",INDEX(키움raw!K:K,2*ROW()-2))</f>
        <v/>
      </c>
      <c r="D10" t="str">
        <f>IF(INDEX(키움raw!A:A,2*ROW()-2)="","",INDEX(키움raw!B:B,2*ROW()-2))</f>
        <v/>
      </c>
      <c r="E10" t="str">
        <f>IF(INDEX(키움raw!A:A,2*ROW()-2)="","",INDEX(키움raw!D:D,2*ROW()-2)&amp;" "&amp;SUBSTITUTE(SUBSTITUTE(INDEX(키움raw!F:F,2*ROW()-3),"현금매수","장내매수"),"현금매도","장내매도"))</f>
        <v/>
      </c>
      <c r="F10" t="str">
        <f>IF(INDEX(키움raw!A:A,2*ROW()-2)="","",INDEX(키움raw!E:E,2*ROW()-2))</f>
        <v/>
      </c>
      <c r="G10" t="str">
        <f>IF(INDEX(키움raw!A:A,2*ROW()-2)="","",INDEX(키움raw!F:F,2*ROW()-2))</f>
        <v/>
      </c>
      <c r="X10" t="str">
        <f>IF(INDEX(키움raw!A:A,2*ROW()-2)="","",TEXT(INDEX(키움raw!D:D,2*ROW()-3),"000000"))</f>
        <v/>
      </c>
      <c r="AA10" t="str">
        <f>IF(INDEX(키움raw!A:A,2*ROW()-2)="","",INDEX(키움raw!A:A,2*ROW()-2))</f>
        <v/>
      </c>
    </row>
    <row r="11" spans="1:27" x14ac:dyDescent="0.3">
      <c r="A11" t="str">
        <f>IF(INDEX(키움raw!A:A,2*ROW()-2)="","",$B$1)</f>
        <v/>
      </c>
      <c r="B11" t="str">
        <f>IF(INDEX(키움raw!A:A,2*ROW()-2)="","",INDEX(키움raw!A:A,2*ROW()-2))</f>
        <v/>
      </c>
      <c r="C11" t="str">
        <f>IF(INDEX(키움raw!A:A,2*ROW()-2)="","",INDEX(키움raw!K:K,2*ROW()-2))</f>
        <v/>
      </c>
      <c r="D11" t="str">
        <f>IF(INDEX(키움raw!A:A,2*ROW()-2)="","",INDEX(키움raw!B:B,2*ROW()-2))</f>
        <v/>
      </c>
      <c r="E11" t="str">
        <f>IF(INDEX(키움raw!A:A,2*ROW()-2)="","",INDEX(키움raw!D:D,2*ROW()-2)&amp;" "&amp;SUBSTITUTE(SUBSTITUTE(INDEX(키움raw!F:F,2*ROW()-3),"현금매수","장내매수"),"현금매도","장내매도"))</f>
        <v/>
      </c>
      <c r="F11" t="str">
        <f>IF(INDEX(키움raw!A:A,2*ROW()-2)="","",INDEX(키움raw!E:E,2*ROW()-2))</f>
        <v/>
      </c>
      <c r="G11" t="str">
        <f>IF(INDEX(키움raw!A:A,2*ROW()-2)="","",INDEX(키움raw!F:F,2*ROW()-2))</f>
        <v/>
      </c>
      <c r="X11" t="str">
        <f>IF(INDEX(키움raw!A:A,2*ROW()-2)="","",TEXT(INDEX(키움raw!D:D,2*ROW()-3),"000000"))</f>
        <v/>
      </c>
      <c r="AA11" t="str">
        <f>IF(INDEX(키움raw!A:A,2*ROW()-2)="","",INDEX(키움raw!A:A,2*ROW()-2))</f>
        <v/>
      </c>
    </row>
    <row r="12" spans="1:27" x14ac:dyDescent="0.3">
      <c r="A12" t="str">
        <f>IF(INDEX(키움raw!A:A,2*ROW()-2)="","",$B$1)</f>
        <v/>
      </c>
      <c r="B12" t="str">
        <f>IF(INDEX(키움raw!A:A,2*ROW()-2)="","",INDEX(키움raw!A:A,2*ROW()-2))</f>
        <v/>
      </c>
      <c r="C12" t="str">
        <f>IF(INDEX(키움raw!A:A,2*ROW()-2)="","",INDEX(키움raw!K:K,2*ROW()-2))</f>
        <v/>
      </c>
      <c r="D12" t="str">
        <f>IF(INDEX(키움raw!A:A,2*ROW()-2)="","",INDEX(키움raw!B:B,2*ROW()-2))</f>
        <v/>
      </c>
      <c r="E12" t="str">
        <f>IF(INDEX(키움raw!A:A,2*ROW()-2)="","",INDEX(키움raw!D:D,2*ROW()-2)&amp;" "&amp;SUBSTITUTE(SUBSTITUTE(INDEX(키움raw!F:F,2*ROW()-3),"현금매수","장내매수"),"현금매도","장내매도"))</f>
        <v/>
      </c>
      <c r="F12" t="str">
        <f>IF(INDEX(키움raw!A:A,2*ROW()-2)="","",INDEX(키움raw!E:E,2*ROW()-2))</f>
        <v/>
      </c>
      <c r="G12" t="str">
        <f>IF(INDEX(키움raw!A:A,2*ROW()-2)="","",INDEX(키움raw!F:F,2*ROW()-2))</f>
        <v/>
      </c>
      <c r="X12" t="str">
        <f>IF(INDEX(키움raw!A:A,2*ROW()-2)="","",TEXT(INDEX(키움raw!D:D,2*ROW()-3),"000000"))</f>
        <v/>
      </c>
      <c r="AA12" t="str">
        <f>IF(INDEX(키움raw!A:A,2*ROW()-2)="","",INDEX(키움raw!A:A,2*ROW()-2))</f>
        <v/>
      </c>
    </row>
    <row r="13" spans="1:27" x14ac:dyDescent="0.3">
      <c r="A13" t="str">
        <f>IF(INDEX(키움raw!A:A,2*ROW()-2)="","",$B$1)</f>
        <v/>
      </c>
      <c r="B13" t="str">
        <f>IF(INDEX(키움raw!A:A,2*ROW()-2)="","",INDEX(키움raw!A:A,2*ROW()-2))</f>
        <v/>
      </c>
      <c r="C13" t="str">
        <f>IF(INDEX(키움raw!A:A,2*ROW()-2)="","",INDEX(키움raw!K:K,2*ROW()-2))</f>
        <v/>
      </c>
      <c r="D13" t="str">
        <f>IF(INDEX(키움raw!A:A,2*ROW()-2)="","",INDEX(키움raw!B:B,2*ROW()-2))</f>
        <v/>
      </c>
      <c r="E13" t="str">
        <f>IF(INDEX(키움raw!A:A,2*ROW()-2)="","",INDEX(키움raw!D:D,2*ROW()-2)&amp;" "&amp;SUBSTITUTE(SUBSTITUTE(INDEX(키움raw!F:F,2*ROW()-3),"현금매수","장내매수"),"현금매도","장내매도"))</f>
        <v/>
      </c>
      <c r="F13" t="str">
        <f>IF(INDEX(키움raw!A:A,2*ROW()-2)="","",INDEX(키움raw!E:E,2*ROW()-2))</f>
        <v/>
      </c>
      <c r="G13" t="str">
        <f>IF(INDEX(키움raw!A:A,2*ROW()-2)="","",INDEX(키움raw!F:F,2*ROW()-2))</f>
        <v/>
      </c>
      <c r="X13" t="str">
        <f>IF(INDEX(키움raw!A:A,2*ROW()-2)="","",TEXT(INDEX(키움raw!D:D,2*ROW()-3),"000000"))</f>
        <v/>
      </c>
      <c r="AA13" t="str">
        <f>IF(INDEX(키움raw!A:A,2*ROW()-2)="","",INDEX(키움raw!A:A,2*ROW()-2))</f>
        <v/>
      </c>
    </row>
    <row r="14" spans="1:27" x14ac:dyDescent="0.3">
      <c r="A14" t="str">
        <f>IF(INDEX(키움raw!A:A,2*ROW()-2)="","",$B$1)</f>
        <v/>
      </c>
      <c r="B14" t="str">
        <f>IF(INDEX(키움raw!A:A,2*ROW()-2)="","",INDEX(키움raw!A:A,2*ROW()-2))</f>
        <v/>
      </c>
      <c r="C14" t="str">
        <f>IF(INDEX(키움raw!A:A,2*ROW()-2)="","",INDEX(키움raw!K:K,2*ROW()-2))</f>
        <v/>
      </c>
      <c r="D14" t="str">
        <f>IF(INDEX(키움raw!A:A,2*ROW()-2)="","",INDEX(키움raw!B:B,2*ROW()-2))</f>
        <v/>
      </c>
      <c r="E14" t="str">
        <f>IF(INDEX(키움raw!A:A,2*ROW()-2)="","",INDEX(키움raw!D:D,2*ROW()-2)&amp;" "&amp;SUBSTITUTE(SUBSTITUTE(INDEX(키움raw!F:F,2*ROW()-3),"현금매수","장내매수"),"현금매도","장내매도"))</f>
        <v/>
      </c>
      <c r="F14" t="str">
        <f>IF(INDEX(키움raw!A:A,2*ROW()-2)="","",INDEX(키움raw!E:E,2*ROW()-2))</f>
        <v/>
      </c>
      <c r="G14" t="str">
        <f>IF(INDEX(키움raw!A:A,2*ROW()-2)="","",INDEX(키움raw!F:F,2*ROW()-2))</f>
        <v/>
      </c>
      <c r="X14" t="str">
        <f>IF(INDEX(키움raw!A:A,2*ROW()-2)="","",TEXT(INDEX(키움raw!D:D,2*ROW()-3),"000000"))</f>
        <v/>
      </c>
      <c r="AA14" t="str">
        <f>IF(INDEX(키움raw!A:A,2*ROW()-2)="","",INDEX(키움raw!A:A,2*ROW()-2))</f>
        <v/>
      </c>
    </row>
    <row r="15" spans="1:27" x14ac:dyDescent="0.3">
      <c r="A15" t="str">
        <f>IF(INDEX(키움raw!A:A,2*ROW()-2)="","",$B$1)</f>
        <v/>
      </c>
      <c r="B15" t="str">
        <f>IF(INDEX(키움raw!A:A,2*ROW()-2)="","",INDEX(키움raw!A:A,2*ROW()-2))</f>
        <v/>
      </c>
      <c r="C15" t="str">
        <f>IF(INDEX(키움raw!A:A,2*ROW()-2)="","",INDEX(키움raw!K:K,2*ROW()-2))</f>
        <v/>
      </c>
      <c r="D15" t="str">
        <f>IF(INDEX(키움raw!A:A,2*ROW()-2)="","",INDEX(키움raw!B:B,2*ROW()-2))</f>
        <v/>
      </c>
      <c r="E15" t="str">
        <f>IF(INDEX(키움raw!A:A,2*ROW()-2)="","",INDEX(키움raw!D:D,2*ROW()-2)&amp;" "&amp;SUBSTITUTE(SUBSTITUTE(INDEX(키움raw!F:F,2*ROW()-3),"현금매수","장내매수"),"현금매도","장내매도"))</f>
        <v/>
      </c>
      <c r="F15" t="str">
        <f>IF(INDEX(키움raw!A:A,2*ROW()-2)="","",INDEX(키움raw!E:E,2*ROW()-2))</f>
        <v/>
      </c>
      <c r="G15" t="str">
        <f>IF(INDEX(키움raw!A:A,2*ROW()-2)="","",INDEX(키움raw!F:F,2*ROW()-2))</f>
        <v/>
      </c>
      <c r="X15" t="str">
        <f>IF(INDEX(키움raw!A:A,2*ROW()-2)="","",TEXT(INDEX(키움raw!D:D,2*ROW()-3),"000000"))</f>
        <v/>
      </c>
      <c r="AA15" t="str">
        <f>IF(INDEX(키움raw!A:A,2*ROW()-2)="","",INDEX(키움raw!A:A,2*ROW()-2))</f>
        <v/>
      </c>
    </row>
    <row r="16" spans="1:27" x14ac:dyDescent="0.3">
      <c r="A16" t="str">
        <f>IF(INDEX(키움raw!A:A,2*ROW()-2)="","",$B$1)</f>
        <v/>
      </c>
      <c r="B16" t="str">
        <f>IF(INDEX(키움raw!A:A,2*ROW()-2)="","",INDEX(키움raw!A:A,2*ROW()-2))</f>
        <v/>
      </c>
      <c r="C16" t="str">
        <f>IF(INDEX(키움raw!A:A,2*ROW()-2)="","",INDEX(키움raw!K:K,2*ROW()-2))</f>
        <v/>
      </c>
      <c r="D16" t="str">
        <f>IF(INDEX(키움raw!A:A,2*ROW()-2)="","",INDEX(키움raw!B:B,2*ROW()-2))</f>
        <v/>
      </c>
      <c r="E16" t="str">
        <f>IF(INDEX(키움raw!A:A,2*ROW()-2)="","",INDEX(키움raw!D:D,2*ROW()-2)&amp;" "&amp;SUBSTITUTE(SUBSTITUTE(INDEX(키움raw!F:F,2*ROW()-3),"현금매수","장내매수"),"현금매도","장내매도"))</f>
        <v/>
      </c>
      <c r="F16" t="str">
        <f>IF(INDEX(키움raw!A:A,2*ROW()-2)="","",INDEX(키움raw!E:E,2*ROW()-2))</f>
        <v/>
      </c>
      <c r="G16" t="str">
        <f>IF(INDEX(키움raw!A:A,2*ROW()-2)="","",INDEX(키움raw!F:F,2*ROW()-2))</f>
        <v/>
      </c>
      <c r="X16" t="str">
        <f>IF(INDEX(키움raw!A:A,2*ROW()-2)="","",TEXT(INDEX(키움raw!D:D,2*ROW()-3),"000000"))</f>
        <v/>
      </c>
      <c r="AA16" t="str">
        <f>IF(INDEX(키움raw!A:A,2*ROW()-2)="","",INDEX(키움raw!A:A,2*ROW()-2))</f>
        <v/>
      </c>
    </row>
    <row r="17" spans="1:27" x14ac:dyDescent="0.3">
      <c r="A17" t="str">
        <f>IF(INDEX(키움raw!A:A,2*ROW()-2)="","",$B$1)</f>
        <v/>
      </c>
      <c r="B17" t="str">
        <f>IF(INDEX(키움raw!A:A,2*ROW()-2)="","",INDEX(키움raw!A:A,2*ROW()-2))</f>
        <v/>
      </c>
      <c r="C17" t="str">
        <f>IF(INDEX(키움raw!A:A,2*ROW()-2)="","",INDEX(키움raw!K:K,2*ROW()-2))</f>
        <v/>
      </c>
      <c r="D17" t="str">
        <f>IF(INDEX(키움raw!A:A,2*ROW()-2)="","",INDEX(키움raw!B:B,2*ROW()-2))</f>
        <v/>
      </c>
      <c r="E17" t="str">
        <f>IF(INDEX(키움raw!A:A,2*ROW()-2)="","",INDEX(키움raw!D:D,2*ROW()-2)&amp;" "&amp;SUBSTITUTE(SUBSTITUTE(INDEX(키움raw!F:F,2*ROW()-3),"현금매수","장내매수"),"현금매도","장내매도"))</f>
        <v/>
      </c>
      <c r="F17" t="str">
        <f>IF(INDEX(키움raw!A:A,2*ROW()-2)="","",INDEX(키움raw!E:E,2*ROW()-2))</f>
        <v/>
      </c>
      <c r="G17" t="str">
        <f>IF(INDEX(키움raw!A:A,2*ROW()-2)="","",INDEX(키움raw!F:F,2*ROW()-2))</f>
        <v/>
      </c>
      <c r="X17" t="str">
        <f>IF(INDEX(키움raw!A:A,2*ROW()-2)="","",TEXT(INDEX(키움raw!D:D,2*ROW()-3),"000000"))</f>
        <v/>
      </c>
      <c r="AA17" t="str">
        <f>IF(INDEX(키움raw!A:A,2*ROW()-2)="","",INDEX(키움raw!A:A,2*ROW()-2))</f>
        <v/>
      </c>
    </row>
    <row r="18" spans="1:27" x14ac:dyDescent="0.3">
      <c r="A18" t="str">
        <f>IF(INDEX(키움raw!A:A,2*ROW()-2)="","",$B$1)</f>
        <v/>
      </c>
      <c r="B18" t="str">
        <f>IF(INDEX(키움raw!A:A,2*ROW()-2)="","",INDEX(키움raw!A:A,2*ROW()-2))</f>
        <v/>
      </c>
      <c r="C18" t="str">
        <f>IF(INDEX(키움raw!A:A,2*ROW()-2)="","",INDEX(키움raw!K:K,2*ROW()-2))</f>
        <v/>
      </c>
      <c r="D18" t="str">
        <f>IF(INDEX(키움raw!A:A,2*ROW()-2)="","",INDEX(키움raw!B:B,2*ROW()-2))</f>
        <v/>
      </c>
      <c r="E18" t="str">
        <f>IF(INDEX(키움raw!A:A,2*ROW()-2)="","",INDEX(키움raw!D:D,2*ROW()-2)&amp;" "&amp;SUBSTITUTE(SUBSTITUTE(INDEX(키움raw!F:F,2*ROW()-3),"현금매수","장내매수"),"현금매도","장내매도"))</f>
        <v/>
      </c>
      <c r="F18" t="str">
        <f>IF(INDEX(키움raw!A:A,2*ROW()-2)="","",INDEX(키움raw!E:E,2*ROW()-2))</f>
        <v/>
      </c>
      <c r="G18" t="str">
        <f>IF(INDEX(키움raw!A:A,2*ROW()-2)="","",INDEX(키움raw!F:F,2*ROW()-2))</f>
        <v/>
      </c>
      <c r="X18" t="str">
        <f>IF(INDEX(키움raw!A:A,2*ROW()-2)="","",TEXT(INDEX(키움raw!D:D,2*ROW()-3),"000000"))</f>
        <v/>
      </c>
      <c r="AA18" t="str">
        <f>IF(INDEX(키움raw!A:A,2*ROW()-2)="","",INDEX(키움raw!A:A,2*ROW()-2))</f>
        <v/>
      </c>
    </row>
    <row r="19" spans="1:27" x14ac:dyDescent="0.3">
      <c r="A19" t="str">
        <f>IF(INDEX(키움raw!A:A,2*ROW()-2)="","",$B$1)</f>
        <v/>
      </c>
      <c r="B19" t="str">
        <f>IF(INDEX(키움raw!A:A,2*ROW()-2)="","",INDEX(키움raw!A:A,2*ROW()-2))</f>
        <v/>
      </c>
      <c r="C19" t="str">
        <f>IF(INDEX(키움raw!A:A,2*ROW()-2)="","",INDEX(키움raw!K:K,2*ROW()-2))</f>
        <v/>
      </c>
      <c r="D19" t="str">
        <f>IF(INDEX(키움raw!A:A,2*ROW()-2)="","",INDEX(키움raw!B:B,2*ROW()-2))</f>
        <v/>
      </c>
      <c r="E19" t="str">
        <f>IF(INDEX(키움raw!A:A,2*ROW()-2)="","",INDEX(키움raw!D:D,2*ROW()-2)&amp;" "&amp;SUBSTITUTE(SUBSTITUTE(INDEX(키움raw!F:F,2*ROW()-3),"현금매수","장내매수"),"현금매도","장내매도"))</f>
        <v/>
      </c>
      <c r="F19" t="str">
        <f>IF(INDEX(키움raw!A:A,2*ROW()-2)="","",INDEX(키움raw!E:E,2*ROW()-2))</f>
        <v/>
      </c>
      <c r="G19" t="str">
        <f>IF(INDEX(키움raw!A:A,2*ROW()-2)="","",INDEX(키움raw!F:F,2*ROW()-2))</f>
        <v/>
      </c>
      <c r="X19" t="str">
        <f>IF(INDEX(키움raw!A:A,2*ROW()-2)="","",TEXT(INDEX(키움raw!D:D,2*ROW()-3),"000000"))</f>
        <v/>
      </c>
      <c r="AA19" t="str">
        <f>IF(INDEX(키움raw!A:A,2*ROW()-2)="","",INDEX(키움raw!A:A,2*ROW()-2))</f>
        <v/>
      </c>
    </row>
    <row r="20" spans="1:27" x14ac:dyDescent="0.3">
      <c r="A20" t="str">
        <f>IF(INDEX(키움raw!A:A,2*ROW()-2)="","",$B$1)</f>
        <v/>
      </c>
      <c r="B20" t="str">
        <f>IF(INDEX(키움raw!A:A,2*ROW()-2)="","",INDEX(키움raw!A:A,2*ROW()-2))</f>
        <v/>
      </c>
      <c r="C20" t="str">
        <f>IF(INDEX(키움raw!A:A,2*ROW()-2)="","",INDEX(키움raw!K:K,2*ROW()-2))</f>
        <v/>
      </c>
      <c r="D20" t="str">
        <f>IF(INDEX(키움raw!A:A,2*ROW()-2)="","",INDEX(키움raw!B:B,2*ROW()-2))</f>
        <v/>
      </c>
      <c r="E20" t="str">
        <f>IF(INDEX(키움raw!A:A,2*ROW()-2)="","",INDEX(키움raw!D:D,2*ROW()-2)&amp;" "&amp;SUBSTITUTE(SUBSTITUTE(INDEX(키움raw!F:F,2*ROW()-3),"현금매수","장내매수"),"현금매도","장내매도"))</f>
        <v/>
      </c>
      <c r="F20" t="str">
        <f>IF(INDEX(키움raw!A:A,2*ROW()-2)="","",INDEX(키움raw!E:E,2*ROW()-2))</f>
        <v/>
      </c>
      <c r="G20" t="str">
        <f>IF(INDEX(키움raw!A:A,2*ROW()-2)="","",INDEX(키움raw!F:F,2*ROW()-2))</f>
        <v/>
      </c>
      <c r="X20" t="str">
        <f>IF(INDEX(키움raw!A:A,2*ROW()-2)="","",TEXT(INDEX(키움raw!D:D,2*ROW()-3),"000000"))</f>
        <v/>
      </c>
      <c r="AA20" t="str">
        <f>IF(INDEX(키움raw!A:A,2*ROW()-2)="","",INDEX(키움raw!A:A,2*ROW()-2))</f>
        <v/>
      </c>
    </row>
    <row r="21" spans="1:27" x14ac:dyDescent="0.3">
      <c r="A21" t="str">
        <f>IF(INDEX(키움raw!A:A,2*ROW()-2)="","",$B$1)</f>
        <v/>
      </c>
      <c r="B21" t="str">
        <f>IF(INDEX(키움raw!A:A,2*ROW()-2)="","",INDEX(키움raw!A:A,2*ROW()-2))</f>
        <v/>
      </c>
      <c r="C21" t="str">
        <f>IF(INDEX(키움raw!A:A,2*ROW()-2)="","",INDEX(키움raw!K:K,2*ROW()-2))</f>
        <v/>
      </c>
      <c r="D21" t="str">
        <f>IF(INDEX(키움raw!A:A,2*ROW()-2)="","",INDEX(키움raw!B:B,2*ROW()-2))</f>
        <v/>
      </c>
      <c r="E21" t="str">
        <f>IF(INDEX(키움raw!A:A,2*ROW()-2)="","",INDEX(키움raw!D:D,2*ROW()-2)&amp;" "&amp;SUBSTITUTE(SUBSTITUTE(INDEX(키움raw!F:F,2*ROW()-3),"현금매수","장내매수"),"현금매도","장내매도"))</f>
        <v/>
      </c>
      <c r="F21" t="str">
        <f>IF(INDEX(키움raw!A:A,2*ROW()-2)="","",INDEX(키움raw!E:E,2*ROW()-2))</f>
        <v/>
      </c>
      <c r="G21" t="str">
        <f>IF(INDEX(키움raw!A:A,2*ROW()-2)="","",INDEX(키움raw!F:F,2*ROW()-2))</f>
        <v/>
      </c>
      <c r="X21" t="str">
        <f>IF(INDEX(키움raw!A:A,2*ROW()-2)="","",TEXT(INDEX(키움raw!D:D,2*ROW()-3),"000000"))</f>
        <v/>
      </c>
      <c r="AA21" t="str">
        <f>IF(INDEX(키움raw!A:A,2*ROW()-2)="","",INDEX(키움raw!A:A,2*ROW()-2))</f>
        <v/>
      </c>
    </row>
    <row r="22" spans="1:27" x14ac:dyDescent="0.3">
      <c r="A22" t="str">
        <f>IF(INDEX(키움raw!A:A,2*ROW()-2)="","",$B$1)</f>
        <v/>
      </c>
      <c r="B22" t="str">
        <f>IF(INDEX(키움raw!A:A,2*ROW()-2)="","",INDEX(키움raw!A:A,2*ROW()-2))</f>
        <v/>
      </c>
      <c r="C22" t="str">
        <f>IF(INDEX(키움raw!A:A,2*ROW()-2)="","",INDEX(키움raw!K:K,2*ROW()-2))</f>
        <v/>
      </c>
      <c r="D22" t="str">
        <f>IF(INDEX(키움raw!A:A,2*ROW()-2)="","",INDEX(키움raw!B:B,2*ROW()-2))</f>
        <v/>
      </c>
      <c r="E22" t="str">
        <f>IF(INDEX(키움raw!A:A,2*ROW()-2)="","",INDEX(키움raw!D:D,2*ROW()-2)&amp;" "&amp;SUBSTITUTE(SUBSTITUTE(INDEX(키움raw!F:F,2*ROW()-3),"현금매수","장내매수"),"현금매도","장내매도"))</f>
        <v/>
      </c>
      <c r="F22" t="str">
        <f>IF(INDEX(키움raw!A:A,2*ROW()-2)="","",INDEX(키움raw!E:E,2*ROW()-2))</f>
        <v/>
      </c>
      <c r="G22" t="str">
        <f>IF(INDEX(키움raw!A:A,2*ROW()-2)="","",INDEX(키움raw!F:F,2*ROW()-2))</f>
        <v/>
      </c>
      <c r="X22" t="str">
        <f>IF(INDEX(키움raw!A:A,2*ROW()-2)="","",TEXT(INDEX(키움raw!D:D,2*ROW()-3),"000000"))</f>
        <v/>
      </c>
      <c r="AA22" t="str">
        <f>IF(INDEX(키움raw!A:A,2*ROW()-2)="","",INDEX(키움raw!A:A,2*ROW()-2))</f>
        <v/>
      </c>
    </row>
    <row r="23" spans="1:27" x14ac:dyDescent="0.3">
      <c r="A23" t="str">
        <f>IF(INDEX(키움raw!A:A,2*ROW()-2)="","",$B$1)</f>
        <v/>
      </c>
      <c r="B23" t="str">
        <f>IF(INDEX(키움raw!A:A,2*ROW()-2)="","",INDEX(키움raw!A:A,2*ROW()-2))</f>
        <v/>
      </c>
      <c r="C23" t="str">
        <f>IF(INDEX(키움raw!A:A,2*ROW()-2)="","",INDEX(키움raw!K:K,2*ROW()-2))</f>
        <v/>
      </c>
      <c r="D23" t="str">
        <f>IF(INDEX(키움raw!A:A,2*ROW()-2)="","",INDEX(키움raw!B:B,2*ROW()-2))</f>
        <v/>
      </c>
      <c r="E23" t="str">
        <f>IF(INDEX(키움raw!A:A,2*ROW()-2)="","",INDEX(키움raw!D:D,2*ROW()-2)&amp;" "&amp;SUBSTITUTE(SUBSTITUTE(INDEX(키움raw!F:F,2*ROW()-3),"현금매수","장내매수"),"현금매도","장내매도"))</f>
        <v/>
      </c>
      <c r="F23" t="str">
        <f>IF(INDEX(키움raw!A:A,2*ROW()-2)="","",INDEX(키움raw!E:E,2*ROW()-2))</f>
        <v/>
      </c>
      <c r="G23" t="str">
        <f>IF(INDEX(키움raw!A:A,2*ROW()-2)="","",INDEX(키움raw!F:F,2*ROW()-2))</f>
        <v/>
      </c>
      <c r="X23" t="str">
        <f>IF(INDEX(키움raw!A:A,2*ROW()-2)="","",TEXT(INDEX(키움raw!D:D,2*ROW()-3),"000000"))</f>
        <v/>
      </c>
      <c r="AA23" t="str">
        <f>IF(INDEX(키움raw!A:A,2*ROW()-2)="","",INDEX(키움raw!A:A,2*ROW()-2))</f>
        <v/>
      </c>
    </row>
    <row r="24" spans="1:27" x14ac:dyDescent="0.3">
      <c r="A24" t="str">
        <f>IF(INDEX(키움raw!A:A,2*ROW()-2)="","",$B$1)</f>
        <v/>
      </c>
      <c r="B24" t="str">
        <f>IF(INDEX(키움raw!A:A,2*ROW()-2)="","",INDEX(키움raw!A:A,2*ROW()-2))</f>
        <v/>
      </c>
      <c r="C24" t="str">
        <f>IF(INDEX(키움raw!A:A,2*ROW()-2)="","",INDEX(키움raw!K:K,2*ROW()-2))</f>
        <v/>
      </c>
      <c r="D24" t="str">
        <f>IF(INDEX(키움raw!A:A,2*ROW()-2)="","",INDEX(키움raw!B:B,2*ROW()-2))</f>
        <v/>
      </c>
      <c r="E24" t="str">
        <f>IF(INDEX(키움raw!A:A,2*ROW()-2)="","",INDEX(키움raw!D:D,2*ROW()-2)&amp;" "&amp;SUBSTITUTE(SUBSTITUTE(INDEX(키움raw!F:F,2*ROW()-3),"현금매수","장내매수"),"현금매도","장내매도"))</f>
        <v/>
      </c>
      <c r="F24" t="str">
        <f>IF(INDEX(키움raw!A:A,2*ROW()-2)="","",INDEX(키움raw!E:E,2*ROW()-2))</f>
        <v/>
      </c>
      <c r="G24" t="str">
        <f>IF(INDEX(키움raw!A:A,2*ROW()-2)="","",INDEX(키움raw!F:F,2*ROW()-2))</f>
        <v/>
      </c>
      <c r="X24" t="str">
        <f>IF(INDEX(키움raw!A:A,2*ROW()-2)="","",TEXT(INDEX(키움raw!D:D,2*ROW()-3),"000000"))</f>
        <v/>
      </c>
      <c r="AA24" t="str">
        <f>IF(INDEX(키움raw!A:A,2*ROW()-2)="","",INDEX(키움raw!A:A,2*ROW()-2))</f>
        <v/>
      </c>
    </row>
    <row r="25" spans="1:27" x14ac:dyDescent="0.3">
      <c r="A25" t="str">
        <f>IF(INDEX(키움raw!A:A,2*ROW()-2)="","",$B$1)</f>
        <v/>
      </c>
      <c r="B25" t="str">
        <f>IF(INDEX(키움raw!A:A,2*ROW()-2)="","",INDEX(키움raw!A:A,2*ROW()-2))</f>
        <v/>
      </c>
      <c r="C25" t="str">
        <f>IF(INDEX(키움raw!A:A,2*ROW()-2)="","",INDEX(키움raw!K:K,2*ROW()-2))</f>
        <v/>
      </c>
      <c r="D25" t="str">
        <f>IF(INDEX(키움raw!A:A,2*ROW()-2)="","",INDEX(키움raw!B:B,2*ROW()-2))</f>
        <v/>
      </c>
      <c r="E25" t="str">
        <f>IF(INDEX(키움raw!A:A,2*ROW()-2)="","",INDEX(키움raw!D:D,2*ROW()-2)&amp;" "&amp;SUBSTITUTE(SUBSTITUTE(INDEX(키움raw!F:F,2*ROW()-3),"현금매수","장내매수"),"현금매도","장내매도"))</f>
        <v/>
      </c>
      <c r="F25" t="str">
        <f>IF(INDEX(키움raw!A:A,2*ROW()-2)="","",INDEX(키움raw!E:E,2*ROW()-2))</f>
        <v/>
      </c>
      <c r="G25" t="str">
        <f>IF(INDEX(키움raw!A:A,2*ROW()-2)="","",INDEX(키움raw!F:F,2*ROW()-2))</f>
        <v/>
      </c>
      <c r="X25" t="str">
        <f>IF(INDEX(키움raw!A:A,2*ROW()-2)="","",TEXT(INDEX(키움raw!D:D,2*ROW()-3),"000000"))</f>
        <v/>
      </c>
      <c r="AA25" t="str">
        <f>IF(INDEX(키움raw!A:A,2*ROW()-2)="","",INDEX(키움raw!A:A,2*ROW()-2))</f>
        <v/>
      </c>
    </row>
    <row r="26" spans="1:27" x14ac:dyDescent="0.3">
      <c r="A26" t="str">
        <f>IF(INDEX(키움raw!A:A,2*ROW()-2)="","",$B$1)</f>
        <v/>
      </c>
      <c r="B26" t="str">
        <f>IF(INDEX(키움raw!A:A,2*ROW()-2)="","",INDEX(키움raw!A:A,2*ROW()-2))</f>
        <v/>
      </c>
      <c r="C26" t="str">
        <f>IF(INDEX(키움raw!A:A,2*ROW()-2)="","",INDEX(키움raw!K:K,2*ROW()-2))</f>
        <v/>
      </c>
      <c r="D26" t="str">
        <f>IF(INDEX(키움raw!A:A,2*ROW()-2)="","",INDEX(키움raw!B:B,2*ROW()-2))</f>
        <v/>
      </c>
      <c r="E26" t="str">
        <f>IF(INDEX(키움raw!A:A,2*ROW()-2)="","",INDEX(키움raw!D:D,2*ROW()-2)&amp;" "&amp;SUBSTITUTE(SUBSTITUTE(INDEX(키움raw!F:F,2*ROW()-3),"현금매수","장내매수"),"현금매도","장내매도"))</f>
        <v/>
      </c>
      <c r="F26" t="str">
        <f>IF(INDEX(키움raw!A:A,2*ROW()-2)="","",INDEX(키움raw!E:E,2*ROW()-2))</f>
        <v/>
      </c>
      <c r="G26" t="str">
        <f>IF(INDEX(키움raw!A:A,2*ROW()-2)="","",INDEX(키움raw!F:F,2*ROW()-2))</f>
        <v/>
      </c>
      <c r="X26" t="str">
        <f>IF(INDEX(키움raw!A:A,2*ROW()-2)="","",TEXT(INDEX(키움raw!D:D,2*ROW()-3),"000000"))</f>
        <v/>
      </c>
      <c r="AA26" t="str">
        <f>IF(INDEX(키움raw!A:A,2*ROW()-2)="","",INDEX(키움raw!A:A,2*ROW()-2))</f>
        <v/>
      </c>
    </row>
    <row r="27" spans="1:27" x14ac:dyDescent="0.3">
      <c r="A27" t="str">
        <f>IF(INDEX(키움raw!A:A,2*ROW()-2)="","",$B$1)</f>
        <v/>
      </c>
      <c r="B27" t="str">
        <f>IF(INDEX(키움raw!A:A,2*ROW()-2)="","",INDEX(키움raw!A:A,2*ROW()-2))</f>
        <v/>
      </c>
      <c r="C27" t="str">
        <f>IF(INDEX(키움raw!A:A,2*ROW()-2)="","",INDEX(키움raw!K:K,2*ROW()-2))</f>
        <v/>
      </c>
      <c r="D27" t="str">
        <f>IF(INDEX(키움raw!A:A,2*ROW()-2)="","",INDEX(키움raw!B:B,2*ROW()-2))</f>
        <v/>
      </c>
      <c r="E27" t="str">
        <f>IF(INDEX(키움raw!A:A,2*ROW()-2)="","",INDEX(키움raw!D:D,2*ROW()-2)&amp;" "&amp;SUBSTITUTE(SUBSTITUTE(INDEX(키움raw!F:F,2*ROW()-3),"현금매수","장내매수"),"현금매도","장내매도"))</f>
        <v/>
      </c>
      <c r="F27" t="str">
        <f>IF(INDEX(키움raw!A:A,2*ROW()-2)="","",INDEX(키움raw!E:E,2*ROW()-2))</f>
        <v/>
      </c>
      <c r="G27" t="str">
        <f>IF(INDEX(키움raw!A:A,2*ROW()-2)="","",INDEX(키움raw!F:F,2*ROW()-2))</f>
        <v/>
      </c>
      <c r="X27" t="str">
        <f>IF(INDEX(키움raw!A:A,2*ROW()-2)="","",TEXT(INDEX(키움raw!D:D,2*ROW()-3),"000000"))</f>
        <v/>
      </c>
      <c r="AA27" t="str">
        <f>IF(INDEX(키움raw!A:A,2*ROW()-2)="","",INDEX(키움raw!A:A,2*ROW()-2))</f>
        <v/>
      </c>
    </row>
    <row r="28" spans="1:27" x14ac:dyDescent="0.3">
      <c r="A28" t="str">
        <f>IF(INDEX(키움raw!A:A,2*ROW()-2)="","",$B$1)</f>
        <v/>
      </c>
      <c r="B28" t="str">
        <f>IF(INDEX(키움raw!A:A,2*ROW()-2)="","",INDEX(키움raw!A:A,2*ROW()-2))</f>
        <v/>
      </c>
      <c r="C28" t="str">
        <f>IF(INDEX(키움raw!A:A,2*ROW()-2)="","",INDEX(키움raw!K:K,2*ROW()-2))</f>
        <v/>
      </c>
      <c r="D28" t="str">
        <f>IF(INDEX(키움raw!A:A,2*ROW()-2)="","",INDEX(키움raw!B:B,2*ROW()-2))</f>
        <v/>
      </c>
      <c r="E28" t="str">
        <f>IF(INDEX(키움raw!A:A,2*ROW()-2)="","",INDEX(키움raw!D:D,2*ROW()-2)&amp;" "&amp;SUBSTITUTE(SUBSTITUTE(INDEX(키움raw!F:F,2*ROW()-3),"현금매수","장내매수"),"현금매도","장내매도"))</f>
        <v/>
      </c>
      <c r="F28" t="str">
        <f>IF(INDEX(키움raw!A:A,2*ROW()-2)="","",INDEX(키움raw!E:E,2*ROW()-2))</f>
        <v/>
      </c>
      <c r="G28" t="str">
        <f>IF(INDEX(키움raw!A:A,2*ROW()-2)="","",INDEX(키움raw!F:F,2*ROW()-2))</f>
        <v/>
      </c>
      <c r="X28" t="str">
        <f>IF(INDEX(키움raw!A:A,2*ROW()-2)="","",TEXT(INDEX(키움raw!D:D,2*ROW()-3),"000000"))</f>
        <v/>
      </c>
      <c r="AA28" t="str">
        <f>IF(INDEX(키움raw!A:A,2*ROW()-2)="","",INDEX(키움raw!A:A,2*ROW()-2))</f>
        <v/>
      </c>
    </row>
    <row r="29" spans="1:27" x14ac:dyDescent="0.3">
      <c r="A29" t="str">
        <f>IF(INDEX(키움raw!A:A,2*ROW()-2)="","",$B$1)</f>
        <v/>
      </c>
      <c r="B29" t="str">
        <f>IF(INDEX(키움raw!A:A,2*ROW()-2)="","",INDEX(키움raw!A:A,2*ROW()-2))</f>
        <v/>
      </c>
      <c r="C29" t="str">
        <f>IF(INDEX(키움raw!A:A,2*ROW()-2)="","",INDEX(키움raw!K:K,2*ROW()-2))</f>
        <v/>
      </c>
      <c r="D29" t="str">
        <f>IF(INDEX(키움raw!A:A,2*ROW()-2)="","",INDEX(키움raw!B:B,2*ROW()-2))</f>
        <v/>
      </c>
      <c r="E29" t="str">
        <f>IF(INDEX(키움raw!A:A,2*ROW()-2)="","",INDEX(키움raw!D:D,2*ROW()-2)&amp;" "&amp;SUBSTITUTE(SUBSTITUTE(INDEX(키움raw!F:F,2*ROW()-3),"현금매수","장내매수"),"현금매도","장내매도"))</f>
        <v/>
      </c>
      <c r="F29" t="str">
        <f>IF(INDEX(키움raw!A:A,2*ROW()-2)="","",INDEX(키움raw!E:E,2*ROW()-2))</f>
        <v/>
      </c>
      <c r="G29" t="str">
        <f>IF(INDEX(키움raw!A:A,2*ROW()-2)="","",INDEX(키움raw!F:F,2*ROW()-2))</f>
        <v/>
      </c>
      <c r="X29" t="str">
        <f>IF(INDEX(키움raw!A:A,2*ROW()-2)="","",TEXT(INDEX(키움raw!D:D,2*ROW()-3),"000000"))</f>
        <v/>
      </c>
      <c r="AA29" t="str">
        <f>IF(INDEX(키움raw!A:A,2*ROW()-2)="","",INDEX(키움raw!A:A,2*ROW()-2))</f>
        <v/>
      </c>
    </row>
    <row r="30" spans="1:27" x14ac:dyDescent="0.3">
      <c r="A30" t="str">
        <f>IF(INDEX(키움raw!A:A,2*ROW()-2)="","",$B$1)</f>
        <v/>
      </c>
      <c r="B30" t="str">
        <f>IF(INDEX(키움raw!A:A,2*ROW()-2)="","",INDEX(키움raw!A:A,2*ROW()-2))</f>
        <v/>
      </c>
      <c r="C30" t="str">
        <f>IF(INDEX(키움raw!A:A,2*ROW()-2)="","",INDEX(키움raw!K:K,2*ROW()-2))</f>
        <v/>
      </c>
      <c r="D30" t="str">
        <f>IF(INDEX(키움raw!A:A,2*ROW()-2)="","",INDEX(키움raw!B:B,2*ROW()-2))</f>
        <v/>
      </c>
      <c r="E30" t="str">
        <f>IF(INDEX(키움raw!A:A,2*ROW()-2)="","",INDEX(키움raw!D:D,2*ROW()-2)&amp;" "&amp;SUBSTITUTE(SUBSTITUTE(INDEX(키움raw!F:F,2*ROW()-3),"현금매수","장내매수"),"현금매도","장내매도"))</f>
        <v/>
      </c>
      <c r="F30" t="str">
        <f>IF(INDEX(키움raw!A:A,2*ROW()-2)="","",INDEX(키움raw!E:E,2*ROW()-2))</f>
        <v/>
      </c>
      <c r="G30" t="str">
        <f>IF(INDEX(키움raw!A:A,2*ROW()-2)="","",INDEX(키움raw!F:F,2*ROW()-2))</f>
        <v/>
      </c>
      <c r="X30" t="str">
        <f>IF(INDEX(키움raw!A:A,2*ROW()-2)="","",TEXT(INDEX(키움raw!D:D,2*ROW()-3),"000000"))</f>
        <v/>
      </c>
      <c r="AA30" t="str">
        <f>IF(INDEX(키움raw!A:A,2*ROW()-2)="","",INDEX(키움raw!A:A,2*ROW()-2))</f>
        <v/>
      </c>
    </row>
    <row r="31" spans="1:27" x14ac:dyDescent="0.3">
      <c r="A31" t="str">
        <f>IF(INDEX(키움raw!A:A,2*ROW()-2)="","",$B$1)</f>
        <v/>
      </c>
      <c r="B31" t="str">
        <f>IF(INDEX(키움raw!A:A,2*ROW()-2)="","",INDEX(키움raw!A:A,2*ROW()-2))</f>
        <v/>
      </c>
      <c r="C31" t="str">
        <f>IF(INDEX(키움raw!A:A,2*ROW()-2)="","",INDEX(키움raw!K:K,2*ROW()-2))</f>
        <v/>
      </c>
      <c r="D31" t="str">
        <f>IF(INDEX(키움raw!A:A,2*ROW()-2)="","",INDEX(키움raw!B:B,2*ROW()-2))</f>
        <v/>
      </c>
      <c r="E31" t="str">
        <f>IF(INDEX(키움raw!A:A,2*ROW()-2)="","",INDEX(키움raw!D:D,2*ROW()-2)&amp;" "&amp;SUBSTITUTE(SUBSTITUTE(INDEX(키움raw!F:F,2*ROW()-3),"현금매수","장내매수"),"현금매도","장내매도"))</f>
        <v/>
      </c>
      <c r="F31" t="str">
        <f>IF(INDEX(키움raw!A:A,2*ROW()-2)="","",INDEX(키움raw!E:E,2*ROW()-2))</f>
        <v/>
      </c>
      <c r="G31" t="str">
        <f>IF(INDEX(키움raw!A:A,2*ROW()-2)="","",INDEX(키움raw!F:F,2*ROW()-2))</f>
        <v/>
      </c>
      <c r="X31" t="str">
        <f>IF(INDEX(키움raw!A:A,2*ROW()-2)="","",TEXT(INDEX(키움raw!D:D,2*ROW()-3),"000000"))</f>
        <v/>
      </c>
      <c r="AA31" t="str">
        <f>IF(INDEX(키움raw!A:A,2*ROW()-2)="","",INDEX(키움raw!A:A,2*ROW()-2))</f>
        <v/>
      </c>
    </row>
    <row r="32" spans="1:27" x14ac:dyDescent="0.3">
      <c r="A32" t="str">
        <f>IF(INDEX(키움raw!A:A,2*ROW()-2)="","",$B$1)</f>
        <v/>
      </c>
      <c r="B32" t="str">
        <f>IF(INDEX(키움raw!A:A,2*ROW()-2)="","",INDEX(키움raw!A:A,2*ROW()-2))</f>
        <v/>
      </c>
      <c r="C32" t="str">
        <f>IF(INDEX(키움raw!A:A,2*ROW()-2)="","",INDEX(키움raw!K:K,2*ROW()-2))</f>
        <v/>
      </c>
      <c r="D32" t="str">
        <f>IF(INDEX(키움raw!A:A,2*ROW()-2)="","",INDEX(키움raw!B:B,2*ROW()-2))</f>
        <v/>
      </c>
      <c r="E32" t="str">
        <f>IF(INDEX(키움raw!A:A,2*ROW()-2)="","",INDEX(키움raw!D:D,2*ROW()-2)&amp;" "&amp;SUBSTITUTE(SUBSTITUTE(INDEX(키움raw!F:F,2*ROW()-3),"현금매수","장내매수"),"현금매도","장내매도"))</f>
        <v/>
      </c>
      <c r="F32" t="str">
        <f>IF(INDEX(키움raw!A:A,2*ROW()-2)="","",INDEX(키움raw!E:E,2*ROW()-2))</f>
        <v/>
      </c>
      <c r="G32" t="str">
        <f>IF(INDEX(키움raw!A:A,2*ROW()-2)="","",INDEX(키움raw!F:F,2*ROW()-2))</f>
        <v/>
      </c>
      <c r="X32" t="str">
        <f>IF(INDEX(키움raw!A:A,2*ROW()-2)="","",TEXT(INDEX(키움raw!D:D,2*ROW()-3),"000000"))</f>
        <v/>
      </c>
      <c r="AA32" t="str">
        <f>IF(INDEX(키움raw!A:A,2*ROW()-2)="","",INDEX(키움raw!A:A,2*ROW()-2))</f>
        <v/>
      </c>
    </row>
    <row r="33" spans="1:27" x14ac:dyDescent="0.3">
      <c r="A33" t="str">
        <f>IF(INDEX(키움raw!A:A,2*ROW()-2)="","",$B$1)</f>
        <v/>
      </c>
      <c r="B33" t="str">
        <f>IF(INDEX(키움raw!A:A,2*ROW()-2)="","",INDEX(키움raw!A:A,2*ROW()-2))</f>
        <v/>
      </c>
      <c r="C33" t="str">
        <f>IF(INDEX(키움raw!A:A,2*ROW()-2)="","",INDEX(키움raw!K:K,2*ROW()-2))</f>
        <v/>
      </c>
      <c r="D33" t="str">
        <f>IF(INDEX(키움raw!A:A,2*ROW()-2)="","",INDEX(키움raw!B:B,2*ROW()-2))</f>
        <v/>
      </c>
      <c r="E33" t="str">
        <f>IF(INDEX(키움raw!A:A,2*ROW()-2)="","",INDEX(키움raw!D:D,2*ROW()-2)&amp;" "&amp;SUBSTITUTE(SUBSTITUTE(INDEX(키움raw!F:F,2*ROW()-3),"현금매수","장내매수"),"현금매도","장내매도"))</f>
        <v/>
      </c>
      <c r="F33" t="str">
        <f>IF(INDEX(키움raw!A:A,2*ROW()-2)="","",INDEX(키움raw!E:E,2*ROW()-2))</f>
        <v/>
      </c>
      <c r="G33" t="str">
        <f>IF(INDEX(키움raw!A:A,2*ROW()-2)="","",INDEX(키움raw!F:F,2*ROW()-2))</f>
        <v/>
      </c>
      <c r="X33" t="str">
        <f>IF(INDEX(키움raw!A:A,2*ROW()-2)="","",TEXT(INDEX(키움raw!D:D,2*ROW()-3),"000000"))</f>
        <v/>
      </c>
      <c r="AA33" t="str">
        <f>IF(INDEX(키움raw!A:A,2*ROW()-2)="","",INDEX(키움raw!A:A,2*ROW()-2))</f>
        <v/>
      </c>
    </row>
    <row r="34" spans="1:27" x14ac:dyDescent="0.3">
      <c r="A34" t="str">
        <f>IF(INDEX(키움raw!A:A,2*ROW()-2)="","",$B$1)</f>
        <v/>
      </c>
      <c r="B34" t="str">
        <f>IF(INDEX(키움raw!A:A,2*ROW()-2)="","",INDEX(키움raw!A:A,2*ROW()-2))</f>
        <v/>
      </c>
      <c r="C34" t="str">
        <f>IF(INDEX(키움raw!A:A,2*ROW()-2)="","",INDEX(키움raw!K:K,2*ROW()-2))</f>
        <v/>
      </c>
      <c r="D34" t="str">
        <f>IF(INDEX(키움raw!A:A,2*ROW()-2)="","",INDEX(키움raw!B:B,2*ROW()-2))</f>
        <v/>
      </c>
      <c r="E34" t="str">
        <f>IF(INDEX(키움raw!A:A,2*ROW()-2)="","",INDEX(키움raw!D:D,2*ROW()-2)&amp;" "&amp;SUBSTITUTE(SUBSTITUTE(INDEX(키움raw!F:F,2*ROW()-3),"현금매수","장내매수"),"현금매도","장내매도"))</f>
        <v/>
      </c>
      <c r="F34" t="str">
        <f>IF(INDEX(키움raw!A:A,2*ROW()-2)="","",INDEX(키움raw!E:E,2*ROW()-2))</f>
        <v/>
      </c>
      <c r="G34" t="str">
        <f>IF(INDEX(키움raw!A:A,2*ROW()-2)="","",INDEX(키움raw!F:F,2*ROW()-2))</f>
        <v/>
      </c>
      <c r="X34" t="str">
        <f>IF(INDEX(키움raw!A:A,2*ROW()-2)="","",TEXT(INDEX(키움raw!D:D,2*ROW()-3),"000000"))</f>
        <v/>
      </c>
      <c r="AA34" t="str">
        <f>IF(INDEX(키움raw!A:A,2*ROW()-2)="","",INDEX(키움raw!A:A,2*ROW()-2))</f>
        <v/>
      </c>
    </row>
    <row r="35" spans="1:27" x14ac:dyDescent="0.3">
      <c r="A35" t="str">
        <f>IF(INDEX(키움raw!A:A,2*ROW()-2)="","",$B$1)</f>
        <v/>
      </c>
      <c r="B35" t="str">
        <f>IF(INDEX(키움raw!A:A,2*ROW()-2)="","",INDEX(키움raw!A:A,2*ROW()-2))</f>
        <v/>
      </c>
      <c r="C35" t="str">
        <f>IF(INDEX(키움raw!A:A,2*ROW()-2)="","",INDEX(키움raw!K:K,2*ROW()-2))</f>
        <v/>
      </c>
      <c r="D35" t="str">
        <f>IF(INDEX(키움raw!A:A,2*ROW()-2)="","",INDEX(키움raw!B:B,2*ROW()-2))</f>
        <v/>
      </c>
      <c r="E35" t="str">
        <f>IF(INDEX(키움raw!A:A,2*ROW()-2)="","",INDEX(키움raw!D:D,2*ROW()-2)&amp;" "&amp;SUBSTITUTE(SUBSTITUTE(INDEX(키움raw!F:F,2*ROW()-3),"현금매수","장내매수"),"현금매도","장내매도"))</f>
        <v/>
      </c>
      <c r="F35" t="str">
        <f>IF(INDEX(키움raw!A:A,2*ROW()-2)="","",INDEX(키움raw!E:E,2*ROW()-2))</f>
        <v/>
      </c>
      <c r="G35" t="str">
        <f>IF(INDEX(키움raw!A:A,2*ROW()-2)="","",INDEX(키움raw!F:F,2*ROW()-2))</f>
        <v/>
      </c>
      <c r="X35" t="str">
        <f>IF(INDEX(키움raw!A:A,2*ROW()-2)="","",TEXT(INDEX(키움raw!D:D,2*ROW()-3),"000000"))</f>
        <v/>
      </c>
      <c r="AA35" t="str">
        <f>IF(INDEX(키움raw!A:A,2*ROW()-2)="","",INDEX(키움raw!A:A,2*ROW()-2))</f>
        <v/>
      </c>
    </row>
    <row r="36" spans="1:27" x14ac:dyDescent="0.3">
      <c r="A36" t="str">
        <f>IF(INDEX(키움raw!A:A,2*ROW()-2)="","",$B$1)</f>
        <v/>
      </c>
      <c r="B36" t="str">
        <f>IF(INDEX(키움raw!A:A,2*ROW()-2)="","",INDEX(키움raw!A:A,2*ROW()-2))</f>
        <v/>
      </c>
      <c r="C36" t="str">
        <f>IF(INDEX(키움raw!A:A,2*ROW()-2)="","",INDEX(키움raw!K:K,2*ROW()-2))</f>
        <v/>
      </c>
      <c r="D36" t="str">
        <f>IF(INDEX(키움raw!A:A,2*ROW()-2)="","",INDEX(키움raw!B:B,2*ROW()-2))</f>
        <v/>
      </c>
      <c r="E36" t="str">
        <f>IF(INDEX(키움raw!A:A,2*ROW()-2)="","",INDEX(키움raw!D:D,2*ROW()-2)&amp;" "&amp;SUBSTITUTE(SUBSTITUTE(INDEX(키움raw!F:F,2*ROW()-3),"현금매수","장내매수"),"현금매도","장내매도"))</f>
        <v/>
      </c>
      <c r="F36" t="str">
        <f>IF(INDEX(키움raw!A:A,2*ROW()-2)="","",INDEX(키움raw!E:E,2*ROW()-2))</f>
        <v/>
      </c>
      <c r="G36" t="str">
        <f>IF(INDEX(키움raw!A:A,2*ROW()-2)="","",INDEX(키움raw!F:F,2*ROW()-2))</f>
        <v/>
      </c>
      <c r="X36" t="str">
        <f>IF(INDEX(키움raw!A:A,2*ROW()-2)="","",TEXT(INDEX(키움raw!D:D,2*ROW()-3),"000000"))</f>
        <v/>
      </c>
      <c r="AA36" t="str">
        <f>IF(INDEX(키움raw!A:A,2*ROW()-2)="","",INDEX(키움raw!A:A,2*ROW()-2))</f>
        <v/>
      </c>
    </row>
    <row r="37" spans="1:27" x14ac:dyDescent="0.3">
      <c r="A37" t="str">
        <f>IF(INDEX(키움raw!A:A,2*ROW()-2)="","",$B$1)</f>
        <v/>
      </c>
      <c r="B37" t="str">
        <f>IF(INDEX(키움raw!A:A,2*ROW()-2)="","",INDEX(키움raw!A:A,2*ROW()-2))</f>
        <v/>
      </c>
      <c r="C37" t="str">
        <f>IF(INDEX(키움raw!A:A,2*ROW()-2)="","",INDEX(키움raw!K:K,2*ROW()-2))</f>
        <v/>
      </c>
      <c r="D37" t="str">
        <f>IF(INDEX(키움raw!A:A,2*ROW()-2)="","",INDEX(키움raw!B:B,2*ROW()-2))</f>
        <v/>
      </c>
      <c r="E37" t="str">
        <f>IF(INDEX(키움raw!A:A,2*ROW()-2)="","",INDEX(키움raw!D:D,2*ROW()-2)&amp;" "&amp;SUBSTITUTE(SUBSTITUTE(INDEX(키움raw!F:F,2*ROW()-3),"현금매수","장내매수"),"현금매도","장내매도"))</f>
        <v/>
      </c>
      <c r="F37" t="str">
        <f>IF(INDEX(키움raw!A:A,2*ROW()-2)="","",INDEX(키움raw!E:E,2*ROW()-2))</f>
        <v/>
      </c>
      <c r="G37" t="str">
        <f>IF(INDEX(키움raw!A:A,2*ROW()-2)="","",INDEX(키움raw!F:F,2*ROW()-2))</f>
        <v/>
      </c>
      <c r="X37" t="str">
        <f>IF(INDEX(키움raw!A:A,2*ROW()-2)="","",TEXT(INDEX(키움raw!D:D,2*ROW()-3),"000000"))</f>
        <v/>
      </c>
      <c r="AA37" t="str">
        <f>IF(INDEX(키움raw!A:A,2*ROW()-2)="","",INDEX(키움raw!A:A,2*ROW()-2))</f>
        <v/>
      </c>
    </row>
    <row r="38" spans="1:27" x14ac:dyDescent="0.3">
      <c r="A38" t="str">
        <f>IF(INDEX(키움raw!A:A,2*ROW()-2)="","",$B$1)</f>
        <v/>
      </c>
      <c r="B38" t="str">
        <f>IF(INDEX(키움raw!A:A,2*ROW()-2)="","",INDEX(키움raw!A:A,2*ROW()-2))</f>
        <v/>
      </c>
      <c r="C38" t="str">
        <f>IF(INDEX(키움raw!A:A,2*ROW()-2)="","",INDEX(키움raw!K:K,2*ROW()-2))</f>
        <v/>
      </c>
      <c r="D38" t="str">
        <f>IF(INDEX(키움raw!A:A,2*ROW()-2)="","",INDEX(키움raw!B:B,2*ROW()-2))</f>
        <v/>
      </c>
      <c r="E38" t="str">
        <f>IF(INDEX(키움raw!A:A,2*ROW()-2)="","",INDEX(키움raw!D:D,2*ROW()-2)&amp;" "&amp;SUBSTITUTE(SUBSTITUTE(INDEX(키움raw!F:F,2*ROW()-3),"현금매수","장내매수"),"현금매도","장내매도"))</f>
        <v/>
      </c>
      <c r="F38" t="str">
        <f>IF(INDEX(키움raw!A:A,2*ROW()-2)="","",INDEX(키움raw!E:E,2*ROW()-2))</f>
        <v/>
      </c>
      <c r="G38" t="str">
        <f>IF(INDEX(키움raw!A:A,2*ROW()-2)="","",INDEX(키움raw!F:F,2*ROW()-2))</f>
        <v/>
      </c>
      <c r="X38" t="str">
        <f>IF(INDEX(키움raw!A:A,2*ROW()-2)="","",TEXT(INDEX(키움raw!D:D,2*ROW()-3),"000000"))</f>
        <v/>
      </c>
      <c r="AA38" t="str">
        <f>IF(INDEX(키움raw!A:A,2*ROW()-2)="","",INDEX(키움raw!A:A,2*ROW()-2))</f>
        <v/>
      </c>
    </row>
    <row r="39" spans="1:27" x14ac:dyDescent="0.3">
      <c r="A39" t="str">
        <f>IF(INDEX(키움raw!A:A,2*ROW()-2)="","",$B$1)</f>
        <v/>
      </c>
      <c r="B39" t="str">
        <f>IF(INDEX(키움raw!A:A,2*ROW()-2)="","",INDEX(키움raw!A:A,2*ROW()-2))</f>
        <v/>
      </c>
      <c r="C39" t="str">
        <f>IF(INDEX(키움raw!A:A,2*ROW()-2)="","",INDEX(키움raw!K:K,2*ROW()-2))</f>
        <v/>
      </c>
      <c r="D39" t="str">
        <f>IF(INDEX(키움raw!A:A,2*ROW()-2)="","",INDEX(키움raw!B:B,2*ROW()-2))</f>
        <v/>
      </c>
      <c r="E39" t="str">
        <f>IF(INDEX(키움raw!A:A,2*ROW()-2)="","",INDEX(키움raw!D:D,2*ROW()-2)&amp;" "&amp;SUBSTITUTE(SUBSTITUTE(INDEX(키움raw!F:F,2*ROW()-3),"현금매수","장내매수"),"현금매도","장내매도"))</f>
        <v/>
      </c>
      <c r="F39" t="str">
        <f>IF(INDEX(키움raw!A:A,2*ROW()-2)="","",INDEX(키움raw!E:E,2*ROW()-2))</f>
        <v/>
      </c>
      <c r="G39" t="str">
        <f>IF(INDEX(키움raw!A:A,2*ROW()-2)="","",INDEX(키움raw!F:F,2*ROW()-2))</f>
        <v/>
      </c>
      <c r="X39" t="str">
        <f>IF(INDEX(키움raw!A:A,2*ROW()-2)="","",TEXT(INDEX(키움raw!D:D,2*ROW()-3),"000000"))</f>
        <v/>
      </c>
      <c r="AA39" t="str">
        <f>IF(INDEX(키움raw!A:A,2*ROW()-2)="","",INDEX(키움raw!A:A,2*ROW()-2))</f>
        <v/>
      </c>
    </row>
    <row r="40" spans="1:27" x14ac:dyDescent="0.3">
      <c r="A40" t="str">
        <f>IF(INDEX(키움raw!A:A,2*ROW()-2)="","",$B$1)</f>
        <v/>
      </c>
      <c r="B40" t="str">
        <f>IF(INDEX(키움raw!A:A,2*ROW()-2)="","",INDEX(키움raw!A:A,2*ROW()-2))</f>
        <v/>
      </c>
      <c r="C40" t="str">
        <f>IF(INDEX(키움raw!A:A,2*ROW()-2)="","",INDEX(키움raw!K:K,2*ROW()-2))</f>
        <v/>
      </c>
      <c r="D40" t="str">
        <f>IF(INDEX(키움raw!A:A,2*ROW()-2)="","",INDEX(키움raw!B:B,2*ROW()-2))</f>
        <v/>
      </c>
      <c r="E40" t="str">
        <f>IF(INDEX(키움raw!A:A,2*ROW()-2)="","",INDEX(키움raw!D:D,2*ROW()-2)&amp;" "&amp;SUBSTITUTE(SUBSTITUTE(INDEX(키움raw!F:F,2*ROW()-3),"현금매수","장내매수"),"현금매도","장내매도"))</f>
        <v/>
      </c>
      <c r="F40" t="str">
        <f>IF(INDEX(키움raw!A:A,2*ROW()-2)="","",INDEX(키움raw!E:E,2*ROW()-2))</f>
        <v/>
      </c>
      <c r="G40" t="str">
        <f>IF(INDEX(키움raw!A:A,2*ROW()-2)="","",INDEX(키움raw!F:F,2*ROW()-2))</f>
        <v/>
      </c>
      <c r="X40" t="str">
        <f>IF(INDEX(키움raw!A:A,2*ROW()-2)="","",TEXT(INDEX(키움raw!D:D,2*ROW()-3),"000000"))</f>
        <v/>
      </c>
      <c r="AA40" t="str">
        <f>IF(INDEX(키움raw!A:A,2*ROW()-2)="","",INDEX(키움raw!A:A,2*ROW()-2))</f>
        <v/>
      </c>
    </row>
    <row r="41" spans="1:27" x14ac:dyDescent="0.3">
      <c r="A41" t="str">
        <f>IF(INDEX(키움raw!A:A,2*ROW()-2)="","",$B$1)</f>
        <v/>
      </c>
      <c r="B41" t="str">
        <f>IF(INDEX(키움raw!A:A,2*ROW()-2)="","",INDEX(키움raw!A:A,2*ROW()-2))</f>
        <v/>
      </c>
      <c r="C41" t="str">
        <f>IF(INDEX(키움raw!A:A,2*ROW()-2)="","",INDEX(키움raw!K:K,2*ROW()-2))</f>
        <v/>
      </c>
      <c r="D41" t="str">
        <f>IF(INDEX(키움raw!A:A,2*ROW()-2)="","",INDEX(키움raw!B:B,2*ROW()-2))</f>
        <v/>
      </c>
      <c r="E41" t="str">
        <f>IF(INDEX(키움raw!A:A,2*ROW()-2)="","",INDEX(키움raw!D:D,2*ROW()-2)&amp;" "&amp;SUBSTITUTE(SUBSTITUTE(INDEX(키움raw!F:F,2*ROW()-3),"현금매수","장내매수"),"현금매도","장내매도"))</f>
        <v/>
      </c>
      <c r="F41" t="str">
        <f>IF(INDEX(키움raw!A:A,2*ROW()-2)="","",INDEX(키움raw!E:E,2*ROW()-2))</f>
        <v/>
      </c>
      <c r="G41" t="str">
        <f>IF(INDEX(키움raw!A:A,2*ROW()-2)="","",INDEX(키움raw!F:F,2*ROW()-2))</f>
        <v/>
      </c>
      <c r="X41" t="str">
        <f>IF(INDEX(키움raw!A:A,2*ROW()-2)="","",TEXT(INDEX(키움raw!D:D,2*ROW()-3),"000000"))</f>
        <v/>
      </c>
      <c r="AA41" t="str">
        <f>IF(INDEX(키움raw!A:A,2*ROW()-2)="","",INDEX(키움raw!A:A,2*ROW()-2))</f>
        <v/>
      </c>
    </row>
    <row r="42" spans="1:27" x14ac:dyDescent="0.3">
      <c r="A42" t="str">
        <f>IF(INDEX(키움raw!A:A,2*ROW()-2)="","",$B$1)</f>
        <v/>
      </c>
      <c r="B42" t="str">
        <f>IF(INDEX(키움raw!A:A,2*ROW()-2)="","",INDEX(키움raw!A:A,2*ROW()-2))</f>
        <v/>
      </c>
      <c r="C42" t="str">
        <f>IF(INDEX(키움raw!A:A,2*ROW()-2)="","",INDEX(키움raw!K:K,2*ROW()-2))</f>
        <v/>
      </c>
      <c r="D42" t="str">
        <f>IF(INDEX(키움raw!A:A,2*ROW()-2)="","",INDEX(키움raw!B:B,2*ROW()-2))</f>
        <v/>
      </c>
      <c r="E42" t="str">
        <f>IF(INDEX(키움raw!A:A,2*ROW()-2)="","",INDEX(키움raw!D:D,2*ROW()-2)&amp;" "&amp;SUBSTITUTE(SUBSTITUTE(INDEX(키움raw!F:F,2*ROW()-3),"현금매수","장내매수"),"현금매도","장내매도"))</f>
        <v/>
      </c>
      <c r="F42" t="str">
        <f>IF(INDEX(키움raw!A:A,2*ROW()-2)="","",INDEX(키움raw!E:E,2*ROW()-2))</f>
        <v/>
      </c>
      <c r="G42" t="str">
        <f>IF(INDEX(키움raw!A:A,2*ROW()-2)="","",INDEX(키움raw!F:F,2*ROW()-2))</f>
        <v/>
      </c>
      <c r="X42" t="str">
        <f>IF(INDEX(키움raw!A:A,2*ROW()-2)="","",TEXT(INDEX(키움raw!D:D,2*ROW()-3),"000000"))</f>
        <v/>
      </c>
      <c r="AA42" t="str">
        <f>IF(INDEX(키움raw!A:A,2*ROW()-2)="","",INDEX(키움raw!A:A,2*ROW()-2))</f>
        <v/>
      </c>
    </row>
    <row r="43" spans="1:27" x14ac:dyDescent="0.3">
      <c r="A43" t="str">
        <f>IF(INDEX(키움raw!A:A,2*ROW()-2)="","",$B$1)</f>
        <v/>
      </c>
      <c r="B43" t="str">
        <f>IF(INDEX(키움raw!A:A,2*ROW()-2)="","",INDEX(키움raw!A:A,2*ROW()-2))</f>
        <v/>
      </c>
      <c r="C43" t="str">
        <f>IF(INDEX(키움raw!A:A,2*ROW()-2)="","",INDEX(키움raw!K:K,2*ROW()-2))</f>
        <v/>
      </c>
      <c r="D43" t="str">
        <f>IF(INDEX(키움raw!A:A,2*ROW()-2)="","",INDEX(키움raw!B:B,2*ROW()-2))</f>
        <v/>
      </c>
      <c r="E43" t="str">
        <f>IF(INDEX(키움raw!A:A,2*ROW()-2)="","",INDEX(키움raw!D:D,2*ROW()-2)&amp;" "&amp;SUBSTITUTE(SUBSTITUTE(INDEX(키움raw!F:F,2*ROW()-3),"현금매수","장내매수"),"현금매도","장내매도"))</f>
        <v/>
      </c>
      <c r="F43" t="str">
        <f>IF(INDEX(키움raw!A:A,2*ROW()-2)="","",INDEX(키움raw!E:E,2*ROW()-2))</f>
        <v/>
      </c>
      <c r="G43" t="str">
        <f>IF(INDEX(키움raw!A:A,2*ROW()-2)="","",INDEX(키움raw!F:F,2*ROW()-2))</f>
        <v/>
      </c>
      <c r="X43" t="str">
        <f>IF(INDEX(키움raw!A:A,2*ROW()-2)="","",TEXT(INDEX(키움raw!D:D,2*ROW()-3),"000000"))</f>
        <v/>
      </c>
      <c r="AA43" t="str">
        <f>IF(INDEX(키움raw!A:A,2*ROW()-2)="","",INDEX(키움raw!A:A,2*ROW()-2))</f>
        <v/>
      </c>
    </row>
    <row r="44" spans="1:27" x14ac:dyDescent="0.3">
      <c r="A44" t="str">
        <f>IF(INDEX(키움raw!A:A,2*ROW()-2)="","",$B$1)</f>
        <v/>
      </c>
      <c r="B44" t="str">
        <f>IF(INDEX(키움raw!A:A,2*ROW()-2)="","",INDEX(키움raw!A:A,2*ROW()-2))</f>
        <v/>
      </c>
      <c r="C44" t="str">
        <f>IF(INDEX(키움raw!A:A,2*ROW()-2)="","",INDEX(키움raw!K:K,2*ROW()-2))</f>
        <v/>
      </c>
      <c r="D44" t="str">
        <f>IF(INDEX(키움raw!A:A,2*ROW()-2)="","",INDEX(키움raw!B:B,2*ROW()-2))</f>
        <v/>
      </c>
      <c r="E44" t="str">
        <f>IF(INDEX(키움raw!A:A,2*ROW()-2)="","",INDEX(키움raw!D:D,2*ROW()-2)&amp;" "&amp;SUBSTITUTE(SUBSTITUTE(INDEX(키움raw!F:F,2*ROW()-3),"현금매수","장내매수"),"현금매도","장내매도"))</f>
        <v/>
      </c>
      <c r="F44" t="str">
        <f>IF(INDEX(키움raw!A:A,2*ROW()-2)="","",INDEX(키움raw!E:E,2*ROW()-2))</f>
        <v/>
      </c>
      <c r="G44" t="str">
        <f>IF(INDEX(키움raw!A:A,2*ROW()-2)="","",INDEX(키움raw!F:F,2*ROW()-2))</f>
        <v/>
      </c>
      <c r="X44" t="str">
        <f>IF(INDEX(키움raw!A:A,2*ROW()-2)="","",TEXT(INDEX(키움raw!D:D,2*ROW()-3),"000000"))</f>
        <v/>
      </c>
      <c r="AA44" t="str">
        <f>IF(INDEX(키움raw!A:A,2*ROW()-2)="","",INDEX(키움raw!A:A,2*ROW()-2))</f>
        <v/>
      </c>
    </row>
    <row r="45" spans="1:27" x14ac:dyDescent="0.3">
      <c r="A45" t="str">
        <f>IF(INDEX(키움raw!A:A,2*ROW()-2)="","",$B$1)</f>
        <v/>
      </c>
      <c r="B45" t="str">
        <f>IF(INDEX(키움raw!A:A,2*ROW()-2)="","",INDEX(키움raw!A:A,2*ROW()-2))</f>
        <v/>
      </c>
      <c r="C45" t="str">
        <f>IF(INDEX(키움raw!A:A,2*ROW()-2)="","",INDEX(키움raw!K:K,2*ROW()-2))</f>
        <v/>
      </c>
      <c r="D45" t="str">
        <f>IF(INDEX(키움raw!A:A,2*ROW()-2)="","",INDEX(키움raw!B:B,2*ROW()-2))</f>
        <v/>
      </c>
      <c r="E45" t="str">
        <f>IF(INDEX(키움raw!A:A,2*ROW()-2)="","",INDEX(키움raw!D:D,2*ROW()-2)&amp;" "&amp;SUBSTITUTE(SUBSTITUTE(INDEX(키움raw!F:F,2*ROW()-3),"현금매수","장내매수"),"현금매도","장내매도"))</f>
        <v/>
      </c>
      <c r="F45" t="str">
        <f>IF(INDEX(키움raw!A:A,2*ROW()-2)="","",INDEX(키움raw!E:E,2*ROW()-2))</f>
        <v/>
      </c>
      <c r="G45" t="str">
        <f>IF(INDEX(키움raw!A:A,2*ROW()-2)="","",INDEX(키움raw!F:F,2*ROW()-2))</f>
        <v/>
      </c>
      <c r="X45" t="str">
        <f>IF(INDEX(키움raw!A:A,2*ROW()-2)="","",TEXT(INDEX(키움raw!D:D,2*ROW()-3),"000000"))</f>
        <v/>
      </c>
      <c r="AA45" t="str">
        <f>IF(INDEX(키움raw!A:A,2*ROW()-2)="","",INDEX(키움raw!A:A,2*ROW()-2))</f>
        <v/>
      </c>
    </row>
    <row r="46" spans="1:27" x14ac:dyDescent="0.3">
      <c r="A46" t="str">
        <f>IF(INDEX(키움raw!A:A,2*ROW()-2)="","",$B$1)</f>
        <v/>
      </c>
      <c r="B46" t="str">
        <f>IF(INDEX(키움raw!A:A,2*ROW()-2)="","",INDEX(키움raw!A:A,2*ROW()-2))</f>
        <v/>
      </c>
      <c r="C46" t="str">
        <f>IF(INDEX(키움raw!A:A,2*ROW()-2)="","",INDEX(키움raw!K:K,2*ROW()-2))</f>
        <v/>
      </c>
      <c r="D46" t="str">
        <f>IF(INDEX(키움raw!A:A,2*ROW()-2)="","",INDEX(키움raw!B:B,2*ROW()-2))</f>
        <v/>
      </c>
      <c r="E46" t="str">
        <f>IF(INDEX(키움raw!A:A,2*ROW()-2)="","",INDEX(키움raw!D:D,2*ROW()-2)&amp;" "&amp;SUBSTITUTE(SUBSTITUTE(INDEX(키움raw!F:F,2*ROW()-3),"현금매수","장내매수"),"현금매도","장내매도"))</f>
        <v/>
      </c>
      <c r="F46" t="str">
        <f>IF(INDEX(키움raw!A:A,2*ROW()-2)="","",INDEX(키움raw!E:E,2*ROW()-2))</f>
        <v/>
      </c>
      <c r="G46" t="str">
        <f>IF(INDEX(키움raw!A:A,2*ROW()-2)="","",INDEX(키움raw!F:F,2*ROW()-2))</f>
        <v/>
      </c>
      <c r="X46" t="str">
        <f>IF(INDEX(키움raw!A:A,2*ROW()-2)="","",TEXT(INDEX(키움raw!D:D,2*ROW()-3),"000000"))</f>
        <v/>
      </c>
      <c r="AA46" t="str">
        <f>IF(INDEX(키움raw!A:A,2*ROW()-2)="","",INDEX(키움raw!A:A,2*ROW()-2))</f>
        <v/>
      </c>
    </row>
    <row r="47" spans="1:27" x14ac:dyDescent="0.3">
      <c r="A47" t="str">
        <f>IF(INDEX(키움raw!A:A,2*ROW()-2)="","",$B$1)</f>
        <v/>
      </c>
      <c r="B47" t="str">
        <f>IF(INDEX(키움raw!A:A,2*ROW()-2)="","",INDEX(키움raw!A:A,2*ROW()-2))</f>
        <v/>
      </c>
      <c r="C47" t="str">
        <f>IF(INDEX(키움raw!A:A,2*ROW()-2)="","",INDEX(키움raw!K:K,2*ROW()-2))</f>
        <v/>
      </c>
      <c r="D47" t="str">
        <f>IF(INDEX(키움raw!A:A,2*ROW()-2)="","",INDEX(키움raw!B:B,2*ROW()-2))</f>
        <v/>
      </c>
      <c r="E47" t="str">
        <f>IF(INDEX(키움raw!A:A,2*ROW()-2)="","",INDEX(키움raw!D:D,2*ROW()-2)&amp;" "&amp;SUBSTITUTE(SUBSTITUTE(INDEX(키움raw!F:F,2*ROW()-3),"현금매수","장내매수"),"현금매도","장내매도"))</f>
        <v/>
      </c>
      <c r="F47" t="str">
        <f>IF(INDEX(키움raw!A:A,2*ROW()-2)="","",INDEX(키움raw!E:E,2*ROW()-2))</f>
        <v/>
      </c>
      <c r="G47" t="str">
        <f>IF(INDEX(키움raw!A:A,2*ROW()-2)="","",INDEX(키움raw!F:F,2*ROW()-2))</f>
        <v/>
      </c>
      <c r="X47" t="str">
        <f>IF(INDEX(키움raw!A:A,2*ROW()-2)="","",TEXT(INDEX(키움raw!D:D,2*ROW()-3),"000000"))</f>
        <v/>
      </c>
      <c r="AA47" t="str">
        <f>IF(INDEX(키움raw!A:A,2*ROW()-2)="","",INDEX(키움raw!A:A,2*ROW()-2))</f>
        <v/>
      </c>
    </row>
    <row r="48" spans="1:27" x14ac:dyDescent="0.3">
      <c r="A48" t="str">
        <f>IF(INDEX(키움raw!A:A,2*ROW()-2)="","",$B$1)</f>
        <v/>
      </c>
      <c r="B48" t="str">
        <f>IF(INDEX(키움raw!A:A,2*ROW()-2)="","",INDEX(키움raw!A:A,2*ROW()-2))</f>
        <v/>
      </c>
      <c r="C48" t="str">
        <f>IF(INDEX(키움raw!A:A,2*ROW()-2)="","",INDEX(키움raw!K:K,2*ROW()-2))</f>
        <v/>
      </c>
      <c r="D48" t="str">
        <f>IF(INDEX(키움raw!A:A,2*ROW()-2)="","",INDEX(키움raw!B:B,2*ROW()-2))</f>
        <v/>
      </c>
      <c r="E48" t="str">
        <f>IF(INDEX(키움raw!A:A,2*ROW()-2)="","",INDEX(키움raw!D:D,2*ROW()-2)&amp;" "&amp;SUBSTITUTE(SUBSTITUTE(INDEX(키움raw!F:F,2*ROW()-3),"현금매수","장내매수"),"현금매도","장내매도"))</f>
        <v/>
      </c>
      <c r="F48" t="str">
        <f>IF(INDEX(키움raw!A:A,2*ROW()-2)="","",INDEX(키움raw!E:E,2*ROW()-2))</f>
        <v/>
      </c>
      <c r="G48" t="str">
        <f>IF(INDEX(키움raw!A:A,2*ROW()-2)="","",INDEX(키움raw!F:F,2*ROW()-2))</f>
        <v/>
      </c>
      <c r="X48" t="str">
        <f>IF(INDEX(키움raw!A:A,2*ROW()-2)="","",TEXT(INDEX(키움raw!D:D,2*ROW()-3),"000000"))</f>
        <v/>
      </c>
      <c r="AA48" t="str">
        <f>IF(INDEX(키움raw!A:A,2*ROW()-2)="","",INDEX(키움raw!A:A,2*ROW()-2))</f>
        <v/>
      </c>
    </row>
    <row r="49" spans="1:27" x14ac:dyDescent="0.3">
      <c r="A49" t="str">
        <f>IF(INDEX(키움raw!A:A,2*ROW()-2)="","",$B$1)</f>
        <v/>
      </c>
      <c r="B49" t="str">
        <f>IF(INDEX(키움raw!A:A,2*ROW()-2)="","",INDEX(키움raw!A:A,2*ROW()-2))</f>
        <v/>
      </c>
      <c r="C49" t="str">
        <f>IF(INDEX(키움raw!A:A,2*ROW()-2)="","",INDEX(키움raw!K:K,2*ROW()-2))</f>
        <v/>
      </c>
      <c r="D49" t="str">
        <f>IF(INDEX(키움raw!A:A,2*ROW()-2)="","",INDEX(키움raw!B:B,2*ROW()-2))</f>
        <v/>
      </c>
      <c r="E49" t="str">
        <f>IF(INDEX(키움raw!A:A,2*ROW()-2)="","",INDEX(키움raw!D:D,2*ROW()-2)&amp;" "&amp;SUBSTITUTE(SUBSTITUTE(INDEX(키움raw!F:F,2*ROW()-3),"현금매수","장내매수"),"현금매도","장내매도"))</f>
        <v/>
      </c>
      <c r="F49" t="str">
        <f>IF(INDEX(키움raw!A:A,2*ROW()-2)="","",INDEX(키움raw!E:E,2*ROW()-2))</f>
        <v/>
      </c>
      <c r="G49" t="str">
        <f>IF(INDEX(키움raw!A:A,2*ROW()-2)="","",INDEX(키움raw!F:F,2*ROW()-2))</f>
        <v/>
      </c>
      <c r="X49" t="str">
        <f>IF(INDEX(키움raw!A:A,2*ROW()-2)="","",TEXT(INDEX(키움raw!D:D,2*ROW()-3),"000000"))</f>
        <v/>
      </c>
      <c r="AA49" t="str">
        <f>IF(INDEX(키움raw!A:A,2*ROW()-2)="","",INDEX(키움raw!A:A,2*ROW()-2))</f>
        <v/>
      </c>
    </row>
    <row r="50" spans="1:27" x14ac:dyDescent="0.3">
      <c r="A50" t="str">
        <f>IF(INDEX(키움raw!A:A,2*ROW()-2)="","",$B$1)</f>
        <v/>
      </c>
      <c r="B50" t="str">
        <f>IF(INDEX(키움raw!A:A,2*ROW()-2)="","",INDEX(키움raw!A:A,2*ROW()-2))</f>
        <v/>
      </c>
      <c r="C50" t="str">
        <f>IF(INDEX(키움raw!A:A,2*ROW()-2)="","",INDEX(키움raw!K:K,2*ROW()-2))</f>
        <v/>
      </c>
      <c r="D50" t="str">
        <f>IF(INDEX(키움raw!A:A,2*ROW()-2)="","",INDEX(키움raw!B:B,2*ROW()-2))</f>
        <v/>
      </c>
      <c r="E50" t="str">
        <f>IF(INDEX(키움raw!A:A,2*ROW()-2)="","",INDEX(키움raw!D:D,2*ROW()-2)&amp;" "&amp;SUBSTITUTE(SUBSTITUTE(INDEX(키움raw!F:F,2*ROW()-3),"현금매수","장내매수"),"현금매도","장내매도"))</f>
        <v/>
      </c>
      <c r="F50" t="str">
        <f>IF(INDEX(키움raw!A:A,2*ROW()-2)="","",INDEX(키움raw!E:E,2*ROW()-2))</f>
        <v/>
      </c>
      <c r="G50" t="str">
        <f>IF(INDEX(키움raw!A:A,2*ROW()-2)="","",INDEX(키움raw!F:F,2*ROW()-2))</f>
        <v/>
      </c>
      <c r="X50" t="str">
        <f>IF(INDEX(키움raw!A:A,2*ROW()-2)="","",TEXT(INDEX(키움raw!D:D,2*ROW()-3),"000000"))</f>
        <v/>
      </c>
      <c r="AA50" t="str">
        <f>IF(INDEX(키움raw!A:A,2*ROW()-2)="","",INDEX(키움raw!A:A,2*ROW()-2))</f>
        <v/>
      </c>
    </row>
    <row r="51" spans="1:27" x14ac:dyDescent="0.3">
      <c r="A51" t="str">
        <f>IF(INDEX(키움raw!A:A,2*ROW()-2)="","",$B$1)</f>
        <v/>
      </c>
      <c r="B51" t="str">
        <f>IF(INDEX(키움raw!A:A,2*ROW()-2)="","",INDEX(키움raw!A:A,2*ROW()-2))</f>
        <v/>
      </c>
      <c r="C51" t="str">
        <f>IF(INDEX(키움raw!A:A,2*ROW()-2)="","",INDEX(키움raw!K:K,2*ROW()-2))</f>
        <v/>
      </c>
      <c r="D51" t="str">
        <f>IF(INDEX(키움raw!A:A,2*ROW()-2)="","",INDEX(키움raw!B:B,2*ROW()-2))</f>
        <v/>
      </c>
      <c r="E51" t="str">
        <f>IF(INDEX(키움raw!A:A,2*ROW()-2)="","",INDEX(키움raw!D:D,2*ROW()-2)&amp;" "&amp;SUBSTITUTE(SUBSTITUTE(INDEX(키움raw!F:F,2*ROW()-3),"현금매수","장내매수"),"현금매도","장내매도"))</f>
        <v/>
      </c>
      <c r="F51" t="str">
        <f>IF(INDEX(키움raw!A:A,2*ROW()-2)="","",INDEX(키움raw!E:E,2*ROW()-2))</f>
        <v/>
      </c>
      <c r="G51" t="str">
        <f>IF(INDEX(키움raw!A:A,2*ROW()-2)="","",INDEX(키움raw!F:F,2*ROW()-2))</f>
        <v/>
      </c>
      <c r="X51" t="str">
        <f>IF(INDEX(키움raw!A:A,2*ROW()-2)="","",TEXT(INDEX(키움raw!D:D,2*ROW()-3),"000000"))</f>
        <v/>
      </c>
      <c r="AA51" t="str">
        <f>IF(INDEX(키움raw!A:A,2*ROW()-2)="","",INDEX(키움raw!A:A,2*ROW()-2))</f>
        <v/>
      </c>
    </row>
    <row r="52" spans="1:27" x14ac:dyDescent="0.3">
      <c r="A52" t="str">
        <f>IF(INDEX(키움raw!A:A,2*ROW()-2)="","",$B$1)</f>
        <v/>
      </c>
      <c r="B52" t="str">
        <f>IF(INDEX(키움raw!A:A,2*ROW()-2)="","",INDEX(키움raw!A:A,2*ROW()-2))</f>
        <v/>
      </c>
      <c r="C52" t="str">
        <f>IF(INDEX(키움raw!A:A,2*ROW()-2)="","",INDEX(키움raw!K:K,2*ROW()-2))</f>
        <v/>
      </c>
      <c r="D52" t="str">
        <f>IF(INDEX(키움raw!A:A,2*ROW()-2)="","",INDEX(키움raw!B:B,2*ROW()-2))</f>
        <v/>
      </c>
      <c r="E52" t="str">
        <f>IF(INDEX(키움raw!A:A,2*ROW()-2)="","",INDEX(키움raw!D:D,2*ROW()-2)&amp;" "&amp;SUBSTITUTE(SUBSTITUTE(INDEX(키움raw!F:F,2*ROW()-3),"현금매수","장내매수"),"현금매도","장내매도"))</f>
        <v/>
      </c>
      <c r="F52" t="str">
        <f>IF(INDEX(키움raw!A:A,2*ROW()-2)="","",INDEX(키움raw!E:E,2*ROW()-2))</f>
        <v/>
      </c>
      <c r="G52" t="str">
        <f>IF(INDEX(키움raw!A:A,2*ROW()-2)="","",INDEX(키움raw!F:F,2*ROW()-2))</f>
        <v/>
      </c>
      <c r="X52" t="str">
        <f>IF(INDEX(키움raw!A:A,2*ROW()-2)="","",TEXT(INDEX(키움raw!D:D,2*ROW()-3),"000000"))</f>
        <v/>
      </c>
      <c r="AA52" t="str">
        <f>IF(INDEX(키움raw!A:A,2*ROW()-2)="","",INDEX(키움raw!A:A,2*ROW()-2))</f>
        <v/>
      </c>
    </row>
    <row r="53" spans="1:27" x14ac:dyDescent="0.3">
      <c r="A53" t="str">
        <f>IF(INDEX(키움raw!A:A,2*ROW()-2)="","",$B$1)</f>
        <v/>
      </c>
      <c r="B53" t="str">
        <f>IF(INDEX(키움raw!A:A,2*ROW()-2)="","",INDEX(키움raw!A:A,2*ROW()-2))</f>
        <v/>
      </c>
      <c r="C53" t="str">
        <f>IF(INDEX(키움raw!A:A,2*ROW()-2)="","",INDEX(키움raw!K:K,2*ROW()-2))</f>
        <v/>
      </c>
      <c r="D53" t="str">
        <f>IF(INDEX(키움raw!A:A,2*ROW()-2)="","",INDEX(키움raw!B:B,2*ROW()-2))</f>
        <v/>
      </c>
      <c r="E53" t="str">
        <f>IF(INDEX(키움raw!A:A,2*ROW()-2)="","",INDEX(키움raw!D:D,2*ROW()-2)&amp;" "&amp;SUBSTITUTE(SUBSTITUTE(INDEX(키움raw!F:F,2*ROW()-3),"현금매수","장내매수"),"현금매도","장내매도"))</f>
        <v/>
      </c>
      <c r="F53" t="str">
        <f>IF(INDEX(키움raw!A:A,2*ROW()-2)="","",INDEX(키움raw!E:E,2*ROW()-2))</f>
        <v/>
      </c>
      <c r="G53" t="str">
        <f>IF(INDEX(키움raw!A:A,2*ROW()-2)="","",INDEX(키움raw!F:F,2*ROW()-2))</f>
        <v/>
      </c>
      <c r="X53" t="str">
        <f>IF(INDEX(키움raw!A:A,2*ROW()-2)="","",TEXT(INDEX(키움raw!D:D,2*ROW()-3),"000000"))</f>
        <v/>
      </c>
      <c r="AA53" t="str">
        <f>IF(INDEX(키움raw!A:A,2*ROW()-2)="","",INDEX(키움raw!A:A,2*ROW()-2))</f>
        <v/>
      </c>
    </row>
    <row r="54" spans="1:27" x14ac:dyDescent="0.3">
      <c r="A54" t="str">
        <f>IF(INDEX(키움raw!A:A,2*ROW()-2)="","",$B$1)</f>
        <v/>
      </c>
      <c r="B54" t="str">
        <f>IF(INDEX(키움raw!A:A,2*ROW()-2)="","",INDEX(키움raw!A:A,2*ROW()-2))</f>
        <v/>
      </c>
      <c r="C54" t="str">
        <f>IF(INDEX(키움raw!A:A,2*ROW()-2)="","",INDEX(키움raw!K:K,2*ROW()-2))</f>
        <v/>
      </c>
      <c r="D54" t="str">
        <f>IF(INDEX(키움raw!A:A,2*ROW()-2)="","",INDEX(키움raw!B:B,2*ROW()-2))</f>
        <v/>
      </c>
      <c r="E54" t="str">
        <f>IF(INDEX(키움raw!A:A,2*ROW()-2)="","",INDEX(키움raw!D:D,2*ROW()-2)&amp;" "&amp;SUBSTITUTE(SUBSTITUTE(INDEX(키움raw!F:F,2*ROW()-3),"현금매수","장내매수"),"현금매도","장내매도"))</f>
        <v/>
      </c>
      <c r="F54" t="str">
        <f>IF(INDEX(키움raw!A:A,2*ROW()-2)="","",INDEX(키움raw!E:E,2*ROW()-2))</f>
        <v/>
      </c>
      <c r="G54" t="str">
        <f>IF(INDEX(키움raw!A:A,2*ROW()-2)="","",INDEX(키움raw!F:F,2*ROW()-2))</f>
        <v/>
      </c>
      <c r="X54" t="str">
        <f>IF(INDEX(키움raw!A:A,2*ROW()-2)="","",TEXT(INDEX(키움raw!D:D,2*ROW()-3),"000000"))</f>
        <v/>
      </c>
      <c r="AA54" t="str">
        <f>IF(INDEX(키움raw!A:A,2*ROW()-2)="","",INDEX(키움raw!A:A,2*ROW()-2))</f>
        <v/>
      </c>
    </row>
    <row r="55" spans="1:27" x14ac:dyDescent="0.3">
      <c r="A55" t="str">
        <f>IF(INDEX(키움raw!A:A,2*ROW()-2)="","",$B$1)</f>
        <v/>
      </c>
      <c r="B55" t="str">
        <f>IF(INDEX(키움raw!A:A,2*ROW()-2)="","",INDEX(키움raw!A:A,2*ROW()-2))</f>
        <v/>
      </c>
      <c r="C55" t="str">
        <f>IF(INDEX(키움raw!A:A,2*ROW()-2)="","",INDEX(키움raw!K:K,2*ROW()-2))</f>
        <v/>
      </c>
      <c r="D55" t="str">
        <f>IF(INDEX(키움raw!A:A,2*ROW()-2)="","",INDEX(키움raw!B:B,2*ROW()-2))</f>
        <v/>
      </c>
      <c r="E55" t="str">
        <f>IF(INDEX(키움raw!A:A,2*ROW()-2)="","",INDEX(키움raw!D:D,2*ROW()-2)&amp;" "&amp;SUBSTITUTE(SUBSTITUTE(INDEX(키움raw!F:F,2*ROW()-3),"현금매수","장내매수"),"현금매도","장내매도"))</f>
        <v/>
      </c>
      <c r="F55" t="str">
        <f>IF(INDEX(키움raw!A:A,2*ROW()-2)="","",INDEX(키움raw!E:E,2*ROW()-2))</f>
        <v/>
      </c>
      <c r="G55" t="str">
        <f>IF(INDEX(키움raw!A:A,2*ROW()-2)="","",INDEX(키움raw!F:F,2*ROW()-2))</f>
        <v/>
      </c>
      <c r="X55" t="str">
        <f>IF(INDEX(키움raw!A:A,2*ROW()-2)="","",TEXT(INDEX(키움raw!D:D,2*ROW()-3),"000000"))</f>
        <v/>
      </c>
      <c r="AA55" t="str">
        <f>IF(INDEX(키움raw!A:A,2*ROW()-2)="","",INDEX(키움raw!A:A,2*ROW()-2))</f>
        <v/>
      </c>
    </row>
    <row r="56" spans="1:27" x14ac:dyDescent="0.3">
      <c r="A56" t="str">
        <f>IF(INDEX(키움raw!A:A,2*ROW()-2)="","",$B$1)</f>
        <v/>
      </c>
      <c r="B56" t="str">
        <f>IF(INDEX(키움raw!A:A,2*ROW()-2)="","",INDEX(키움raw!A:A,2*ROW()-2))</f>
        <v/>
      </c>
      <c r="C56" t="str">
        <f>IF(INDEX(키움raw!A:A,2*ROW()-2)="","",INDEX(키움raw!K:K,2*ROW()-2))</f>
        <v/>
      </c>
      <c r="D56" t="str">
        <f>IF(INDEX(키움raw!A:A,2*ROW()-2)="","",INDEX(키움raw!B:B,2*ROW()-2))</f>
        <v/>
      </c>
      <c r="E56" t="str">
        <f>IF(INDEX(키움raw!A:A,2*ROW()-2)="","",INDEX(키움raw!D:D,2*ROW()-2)&amp;" "&amp;SUBSTITUTE(SUBSTITUTE(INDEX(키움raw!F:F,2*ROW()-3),"현금매수","장내매수"),"현금매도","장내매도"))</f>
        <v/>
      </c>
      <c r="F56" t="str">
        <f>IF(INDEX(키움raw!A:A,2*ROW()-2)="","",INDEX(키움raw!E:E,2*ROW()-2))</f>
        <v/>
      </c>
      <c r="G56" t="str">
        <f>IF(INDEX(키움raw!A:A,2*ROW()-2)="","",INDEX(키움raw!F:F,2*ROW()-2))</f>
        <v/>
      </c>
      <c r="X56" t="str">
        <f>IF(INDEX(키움raw!A:A,2*ROW()-2)="","",TEXT(INDEX(키움raw!D:D,2*ROW()-3),"000000"))</f>
        <v/>
      </c>
      <c r="AA56" t="str">
        <f>IF(INDEX(키움raw!A:A,2*ROW()-2)="","",INDEX(키움raw!A:A,2*ROW()-2))</f>
        <v/>
      </c>
    </row>
    <row r="57" spans="1:27" x14ac:dyDescent="0.3">
      <c r="A57" t="str">
        <f>IF(INDEX(키움raw!A:A,2*ROW()-2)="","",$B$1)</f>
        <v/>
      </c>
      <c r="B57" t="str">
        <f>IF(INDEX(키움raw!A:A,2*ROW()-2)="","",INDEX(키움raw!A:A,2*ROW()-2))</f>
        <v/>
      </c>
      <c r="C57" t="str">
        <f>IF(INDEX(키움raw!A:A,2*ROW()-2)="","",INDEX(키움raw!K:K,2*ROW()-2))</f>
        <v/>
      </c>
      <c r="D57" t="str">
        <f>IF(INDEX(키움raw!A:A,2*ROW()-2)="","",INDEX(키움raw!B:B,2*ROW()-2))</f>
        <v/>
      </c>
      <c r="E57" t="str">
        <f>IF(INDEX(키움raw!A:A,2*ROW()-2)="","",INDEX(키움raw!D:D,2*ROW()-2)&amp;" "&amp;SUBSTITUTE(SUBSTITUTE(INDEX(키움raw!F:F,2*ROW()-3),"현금매수","장내매수"),"현금매도","장내매도"))</f>
        <v/>
      </c>
      <c r="F57" t="str">
        <f>IF(INDEX(키움raw!A:A,2*ROW()-2)="","",INDEX(키움raw!E:E,2*ROW()-2))</f>
        <v/>
      </c>
      <c r="G57" t="str">
        <f>IF(INDEX(키움raw!A:A,2*ROW()-2)="","",INDEX(키움raw!F:F,2*ROW()-2))</f>
        <v/>
      </c>
      <c r="X57" t="str">
        <f>IF(INDEX(키움raw!A:A,2*ROW()-2)="","",TEXT(INDEX(키움raw!D:D,2*ROW()-3),"000000"))</f>
        <v/>
      </c>
      <c r="AA57" t="str">
        <f>IF(INDEX(키움raw!A:A,2*ROW()-2)="","",INDEX(키움raw!A:A,2*ROW()-2))</f>
        <v/>
      </c>
    </row>
    <row r="58" spans="1:27" x14ac:dyDescent="0.3">
      <c r="A58" t="str">
        <f>IF(INDEX(키움raw!A:A,2*ROW()-2)="","",$B$1)</f>
        <v/>
      </c>
      <c r="B58" t="str">
        <f>IF(INDEX(키움raw!A:A,2*ROW()-2)="","",INDEX(키움raw!A:A,2*ROW()-2))</f>
        <v/>
      </c>
      <c r="C58" t="str">
        <f>IF(INDEX(키움raw!A:A,2*ROW()-2)="","",INDEX(키움raw!K:K,2*ROW()-2))</f>
        <v/>
      </c>
      <c r="D58" t="str">
        <f>IF(INDEX(키움raw!A:A,2*ROW()-2)="","",INDEX(키움raw!B:B,2*ROW()-2))</f>
        <v/>
      </c>
      <c r="E58" t="str">
        <f>IF(INDEX(키움raw!A:A,2*ROW()-2)="","",INDEX(키움raw!D:D,2*ROW()-2)&amp;" "&amp;SUBSTITUTE(SUBSTITUTE(INDEX(키움raw!F:F,2*ROW()-3),"현금매수","장내매수"),"현금매도","장내매도"))</f>
        <v/>
      </c>
      <c r="F58" t="str">
        <f>IF(INDEX(키움raw!A:A,2*ROW()-2)="","",INDEX(키움raw!E:E,2*ROW()-2))</f>
        <v/>
      </c>
      <c r="G58" t="str">
        <f>IF(INDEX(키움raw!A:A,2*ROW()-2)="","",INDEX(키움raw!F:F,2*ROW()-2))</f>
        <v/>
      </c>
      <c r="X58" t="str">
        <f>IF(INDEX(키움raw!A:A,2*ROW()-2)="","",TEXT(INDEX(키움raw!D:D,2*ROW()-3),"000000"))</f>
        <v/>
      </c>
      <c r="AA58" t="str">
        <f>IF(INDEX(키움raw!A:A,2*ROW()-2)="","",INDEX(키움raw!A:A,2*ROW()-2))</f>
        <v/>
      </c>
    </row>
    <row r="59" spans="1:27" x14ac:dyDescent="0.3">
      <c r="A59" t="str">
        <f>IF(INDEX(키움raw!A:A,2*ROW()-2)="","",$B$1)</f>
        <v/>
      </c>
      <c r="B59" t="str">
        <f>IF(INDEX(키움raw!A:A,2*ROW()-2)="","",INDEX(키움raw!A:A,2*ROW()-2))</f>
        <v/>
      </c>
      <c r="C59" t="str">
        <f>IF(INDEX(키움raw!A:A,2*ROW()-2)="","",INDEX(키움raw!K:K,2*ROW()-2))</f>
        <v/>
      </c>
      <c r="D59" t="str">
        <f>IF(INDEX(키움raw!A:A,2*ROW()-2)="","",INDEX(키움raw!B:B,2*ROW()-2))</f>
        <v/>
      </c>
      <c r="E59" t="str">
        <f>IF(INDEX(키움raw!A:A,2*ROW()-2)="","",INDEX(키움raw!D:D,2*ROW()-2)&amp;" "&amp;SUBSTITUTE(SUBSTITUTE(INDEX(키움raw!F:F,2*ROW()-3),"현금매수","장내매수"),"현금매도","장내매도"))</f>
        <v/>
      </c>
      <c r="F59" t="str">
        <f>IF(INDEX(키움raw!A:A,2*ROW()-2)="","",INDEX(키움raw!E:E,2*ROW()-2))</f>
        <v/>
      </c>
      <c r="G59" t="str">
        <f>IF(INDEX(키움raw!A:A,2*ROW()-2)="","",INDEX(키움raw!F:F,2*ROW()-2))</f>
        <v/>
      </c>
      <c r="X59" t="str">
        <f>IF(INDEX(키움raw!A:A,2*ROW()-2)="","",TEXT(INDEX(키움raw!D:D,2*ROW()-3),"000000"))</f>
        <v/>
      </c>
      <c r="AA59" t="str">
        <f>IF(INDEX(키움raw!A:A,2*ROW()-2)="","",INDEX(키움raw!A:A,2*ROW()-2))</f>
        <v/>
      </c>
    </row>
    <row r="60" spans="1:27" x14ac:dyDescent="0.3">
      <c r="A60" t="str">
        <f>IF(INDEX(키움raw!A:A,2*ROW()-2)="","",$B$1)</f>
        <v/>
      </c>
      <c r="B60" t="str">
        <f>IF(INDEX(키움raw!A:A,2*ROW()-2)="","",INDEX(키움raw!A:A,2*ROW()-2))</f>
        <v/>
      </c>
      <c r="C60" t="str">
        <f>IF(INDEX(키움raw!A:A,2*ROW()-2)="","",INDEX(키움raw!K:K,2*ROW()-2))</f>
        <v/>
      </c>
      <c r="D60" t="str">
        <f>IF(INDEX(키움raw!A:A,2*ROW()-2)="","",INDEX(키움raw!B:B,2*ROW()-2))</f>
        <v/>
      </c>
      <c r="E60" t="str">
        <f>IF(INDEX(키움raw!A:A,2*ROW()-2)="","",INDEX(키움raw!D:D,2*ROW()-2)&amp;" "&amp;SUBSTITUTE(SUBSTITUTE(INDEX(키움raw!F:F,2*ROW()-3),"현금매수","장내매수"),"현금매도","장내매도"))</f>
        <v/>
      </c>
      <c r="F60" t="str">
        <f>IF(INDEX(키움raw!A:A,2*ROW()-2)="","",INDEX(키움raw!E:E,2*ROW()-2))</f>
        <v/>
      </c>
      <c r="G60" t="str">
        <f>IF(INDEX(키움raw!A:A,2*ROW()-2)="","",INDEX(키움raw!F:F,2*ROW()-2))</f>
        <v/>
      </c>
      <c r="X60" t="str">
        <f>IF(INDEX(키움raw!A:A,2*ROW()-2)="","",TEXT(INDEX(키움raw!D:D,2*ROW()-3),"000000"))</f>
        <v/>
      </c>
      <c r="AA60" t="str">
        <f>IF(INDEX(키움raw!A:A,2*ROW()-2)="","",INDEX(키움raw!A:A,2*ROW()-2))</f>
        <v/>
      </c>
    </row>
    <row r="61" spans="1:27" x14ac:dyDescent="0.3">
      <c r="A61" t="str">
        <f>IF(INDEX(키움raw!A:A,2*ROW()-2)="","",$B$1)</f>
        <v/>
      </c>
      <c r="B61" t="str">
        <f>IF(INDEX(키움raw!A:A,2*ROW()-2)="","",INDEX(키움raw!A:A,2*ROW()-2))</f>
        <v/>
      </c>
      <c r="C61" t="str">
        <f>IF(INDEX(키움raw!A:A,2*ROW()-2)="","",INDEX(키움raw!K:K,2*ROW()-2))</f>
        <v/>
      </c>
      <c r="D61" t="str">
        <f>IF(INDEX(키움raw!A:A,2*ROW()-2)="","",INDEX(키움raw!B:B,2*ROW()-2))</f>
        <v/>
      </c>
      <c r="E61" t="str">
        <f>IF(INDEX(키움raw!A:A,2*ROW()-2)="","",INDEX(키움raw!D:D,2*ROW()-2)&amp;" "&amp;SUBSTITUTE(SUBSTITUTE(INDEX(키움raw!F:F,2*ROW()-3),"현금매수","장내매수"),"현금매도","장내매도"))</f>
        <v/>
      </c>
      <c r="F61" t="str">
        <f>IF(INDEX(키움raw!A:A,2*ROW()-2)="","",INDEX(키움raw!E:E,2*ROW()-2))</f>
        <v/>
      </c>
      <c r="G61" t="str">
        <f>IF(INDEX(키움raw!A:A,2*ROW()-2)="","",INDEX(키움raw!F:F,2*ROW()-2))</f>
        <v/>
      </c>
      <c r="X61" t="str">
        <f>IF(INDEX(키움raw!A:A,2*ROW()-2)="","",TEXT(INDEX(키움raw!D:D,2*ROW()-3),"000000"))</f>
        <v/>
      </c>
      <c r="AA61" t="str">
        <f>IF(INDEX(키움raw!A:A,2*ROW()-2)="","",INDEX(키움raw!A:A,2*ROW()-2))</f>
        <v/>
      </c>
    </row>
    <row r="62" spans="1:27" x14ac:dyDescent="0.3">
      <c r="A62" t="str">
        <f>IF(INDEX(키움raw!A:A,2*ROW()-2)="","",$B$1)</f>
        <v/>
      </c>
      <c r="B62" t="str">
        <f>IF(INDEX(키움raw!A:A,2*ROW()-2)="","",INDEX(키움raw!A:A,2*ROW()-2))</f>
        <v/>
      </c>
      <c r="C62" t="str">
        <f>IF(INDEX(키움raw!A:A,2*ROW()-2)="","",INDEX(키움raw!K:K,2*ROW()-2))</f>
        <v/>
      </c>
      <c r="D62" t="str">
        <f>IF(INDEX(키움raw!A:A,2*ROW()-2)="","",INDEX(키움raw!B:B,2*ROW()-2))</f>
        <v/>
      </c>
      <c r="E62" t="str">
        <f>IF(INDEX(키움raw!A:A,2*ROW()-2)="","",INDEX(키움raw!D:D,2*ROW()-2)&amp;" "&amp;SUBSTITUTE(SUBSTITUTE(INDEX(키움raw!F:F,2*ROW()-3),"현금매수","장내매수"),"현금매도","장내매도"))</f>
        <v/>
      </c>
      <c r="F62" t="str">
        <f>IF(INDEX(키움raw!A:A,2*ROW()-2)="","",INDEX(키움raw!E:E,2*ROW()-2))</f>
        <v/>
      </c>
      <c r="G62" t="str">
        <f>IF(INDEX(키움raw!A:A,2*ROW()-2)="","",INDEX(키움raw!F:F,2*ROW()-2))</f>
        <v/>
      </c>
      <c r="X62" t="str">
        <f>IF(INDEX(키움raw!A:A,2*ROW()-2)="","",TEXT(INDEX(키움raw!D:D,2*ROW()-3),"000000"))</f>
        <v/>
      </c>
      <c r="AA62" t="str">
        <f>IF(INDEX(키움raw!A:A,2*ROW()-2)="","",INDEX(키움raw!A:A,2*ROW()-2))</f>
        <v/>
      </c>
    </row>
    <row r="63" spans="1:27" x14ac:dyDescent="0.3">
      <c r="A63" t="str">
        <f>IF(INDEX(키움raw!A:A,2*ROW()-2)="","",$B$1)</f>
        <v/>
      </c>
      <c r="B63" t="str">
        <f>IF(INDEX(키움raw!A:A,2*ROW()-2)="","",INDEX(키움raw!A:A,2*ROW()-2))</f>
        <v/>
      </c>
      <c r="C63" t="str">
        <f>IF(INDEX(키움raw!A:A,2*ROW()-2)="","",INDEX(키움raw!K:K,2*ROW()-2))</f>
        <v/>
      </c>
      <c r="D63" t="str">
        <f>IF(INDEX(키움raw!A:A,2*ROW()-2)="","",INDEX(키움raw!B:B,2*ROW()-2))</f>
        <v/>
      </c>
      <c r="E63" t="str">
        <f>IF(INDEX(키움raw!A:A,2*ROW()-2)="","",INDEX(키움raw!D:D,2*ROW()-2)&amp;" "&amp;SUBSTITUTE(SUBSTITUTE(INDEX(키움raw!F:F,2*ROW()-3),"현금매수","장내매수"),"현금매도","장내매도"))</f>
        <v/>
      </c>
      <c r="F63" t="str">
        <f>IF(INDEX(키움raw!A:A,2*ROW()-2)="","",INDEX(키움raw!E:E,2*ROW()-2))</f>
        <v/>
      </c>
      <c r="G63" t="str">
        <f>IF(INDEX(키움raw!A:A,2*ROW()-2)="","",INDEX(키움raw!F:F,2*ROW()-2))</f>
        <v/>
      </c>
      <c r="X63" t="str">
        <f>IF(INDEX(키움raw!A:A,2*ROW()-2)="","",TEXT(INDEX(키움raw!D:D,2*ROW()-3),"000000"))</f>
        <v/>
      </c>
      <c r="AA63" t="str">
        <f>IF(INDEX(키움raw!A:A,2*ROW()-2)="","",INDEX(키움raw!A:A,2*ROW()-2))</f>
        <v/>
      </c>
    </row>
    <row r="64" spans="1:27" x14ac:dyDescent="0.3">
      <c r="A64" t="str">
        <f>IF(INDEX(키움raw!A:A,2*ROW()-2)="","",$B$1)</f>
        <v/>
      </c>
      <c r="B64" t="str">
        <f>IF(INDEX(키움raw!A:A,2*ROW()-2)="","",INDEX(키움raw!A:A,2*ROW()-2))</f>
        <v/>
      </c>
      <c r="C64" t="str">
        <f>IF(INDEX(키움raw!A:A,2*ROW()-2)="","",INDEX(키움raw!K:K,2*ROW()-2))</f>
        <v/>
      </c>
      <c r="D64" t="str">
        <f>IF(INDEX(키움raw!A:A,2*ROW()-2)="","",INDEX(키움raw!B:B,2*ROW()-2))</f>
        <v/>
      </c>
      <c r="E64" t="str">
        <f>IF(INDEX(키움raw!A:A,2*ROW()-2)="","",INDEX(키움raw!D:D,2*ROW()-2)&amp;" "&amp;SUBSTITUTE(SUBSTITUTE(INDEX(키움raw!F:F,2*ROW()-3),"현금매수","장내매수"),"현금매도","장내매도"))</f>
        <v/>
      </c>
      <c r="F64" t="str">
        <f>IF(INDEX(키움raw!A:A,2*ROW()-2)="","",INDEX(키움raw!E:E,2*ROW()-2))</f>
        <v/>
      </c>
      <c r="G64" t="str">
        <f>IF(INDEX(키움raw!A:A,2*ROW()-2)="","",INDEX(키움raw!F:F,2*ROW()-2))</f>
        <v/>
      </c>
      <c r="X64" t="str">
        <f>IF(INDEX(키움raw!A:A,2*ROW()-2)="","",TEXT(INDEX(키움raw!D:D,2*ROW()-3),"000000"))</f>
        <v/>
      </c>
      <c r="AA64" t="str">
        <f>IF(INDEX(키움raw!A:A,2*ROW()-2)="","",INDEX(키움raw!A:A,2*ROW()-2))</f>
        <v/>
      </c>
    </row>
    <row r="65" spans="1:27" x14ac:dyDescent="0.3">
      <c r="A65" t="str">
        <f>IF(INDEX(키움raw!A:A,2*ROW()-2)="","",$B$1)</f>
        <v/>
      </c>
      <c r="B65" t="str">
        <f>IF(INDEX(키움raw!A:A,2*ROW()-2)="","",INDEX(키움raw!A:A,2*ROW()-2))</f>
        <v/>
      </c>
      <c r="C65" t="str">
        <f>IF(INDEX(키움raw!A:A,2*ROW()-2)="","",INDEX(키움raw!K:K,2*ROW()-2))</f>
        <v/>
      </c>
      <c r="D65" t="str">
        <f>IF(INDEX(키움raw!A:A,2*ROW()-2)="","",INDEX(키움raw!B:B,2*ROW()-2))</f>
        <v/>
      </c>
      <c r="E65" t="str">
        <f>IF(INDEX(키움raw!A:A,2*ROW()-2)="","",INDEX(키움raw!D:D,2*ROW()-2)&amp;" "&amp;SUBSTITUTE(SUBSTITUTE(INDEX(키움raw!F:F,2*ROW()-3),"현금매수","장내매수"),"현금매도","장내매도"))</f>
        <v/>
      </c>
      <c r="F65" t="str">
        <f>IF(INDEX(키움raw!A:A,2*ROW()-2)="","",INDEX(키움raw!E:E,2*ROW()-2))</f>
        <v/>
      </c>
      <c r="G65" t="str">
        <f>IF(INDEX(키움raw!A:A,2*ROW()-2)="","",INDEX(키움raw!F:F,2*ROW()-2))</f>
        <v/>
      </c>
      <c r="X65" t="str">
        <f>IF(INDEX(키움raw!A:A,2*ROW()-2)="","",TEXT(INDEX(키움raw!D:D,2*ROW()-3),"000000"))</f>
        <v/>
      </c>
      <c r="AA65" t="str">
        <f>IF(INDEX(키움raw!A:A,2*ROW()-2)="","",INDEX(키움raw!A:A,2*ROW()-2))</f>
        <v/>
      </c>
    </row>
    <row r="66" spans="1:27" x14ac:dyDescent="0.3">
      <c r="A66" t="str">
        <f>IF(INDEX(키움raw!A:A,2*ROW()-2)="","",$B$1)</f>
        <v/>
      </c>
      <c r="B66" t="str">
        <f>IF(INDEX(키움raw!A:A,2*ROW()-2)="","",INDEX(키움raw!A:A,2*ROW()-2))</f>
        <v/>
      </c>
      <c r="C66" t="str">
        <f>IF(INDEX(키움raw!A:A,2*ROW()-2)="","",INDEX(키움raw!K:K,2*ROW()-2))</f>
        <v/>
      </c>
      <c r="D66" t="str">
        <f>IF(INDEX(키움raw!A:A,2*ROW()-2)="","",INDEX(키움raw!B:B,2*ROW()-2))</f>
        <v/>
      </c>
      <c r="E66" t="str">
        <f>IF(INDEX(키움raw!A:A,2*ROW()-2)="","",INDEX(키움raw!D:D,2*ROW()-2)&amp;" "&amp;SUBSTITUTE(SUBSTITUTE(INDEX(키움raw!F:F,2*ROW()-3),"현금매수","장내매수"),"현금매도","장내매도"))</f>
        <v/>
      </c>
      <c r="F66" t="str">
        <f>IF(INDEX(키움raw!A:A,2*ROW()-2)="","",INDEX(키움raw!E:E,2*ROW()-2))</f>
        <v/>
      </c>
      <c r="G66" t="str">
        <f>IF(INDEX(키움raw!A:A,2*ROW()-2)="","",INDEX(키움raw!F:F,2*ROW()-2))</f>
        <v/>
      </c>
      <c r="X66" t="str">
        <f>IF(INDEX(키움raw!A:A,2*ROW()-2)="","",TEXT(INDEX(키움raw!D:D,2*ROW()-3),"000000"))</f>
        <v/>
      </c>
      <c r="AA66" t="str">
        <f>IF(INDEX(키움raw!A:A,2*ROW()-2)="","",INDEX(키움raw!A:A,2*ROW()-2))</f>
        <v/>
      </c>
    </row>
    <row r="67" spans="1:27" x14ac:dyDescent="0.3">
      <c r="A67" t="str">
        <f>IF(INDEX(키움raw!A:A,2*ROW()-2)="","",$B$1)</f>
        <v/>
      </c>
      <c r="B67" t="str">
        <f>IF(INDEX(키움raw!A:A,2*ROW()-2)="","",INDEX(키움raw!A:A,2*ROW()-2))</f>
        <v/>
      </c>
      <c r="C67" t="str">
        <f>IF(INDEX(키움raw!A:A,2*ROW()-2)="","",INDEX(키움raw!K:K,2*ROW()-2))</f>
        <v/>
      </c>
      <c r="D67" t="str">
        <f>IF(INDEX(키움raw!A:A,2*ROW()-2)="","",INDEX(키움raw!B:B,2*ROW()-2))</f>
        <v/>
      </c>
      <c r="E67" t="str">
        <f>IF(INDEX(키움raw!A:A,2*ROW()-2)="","",INDEX(키움raw!D:D,2*ROW()-2)&amp;" "&amp;SUBSTITUTE(SUBSTITUTE(INDEX(키움raw!F:F,2*ROW()-3),"현금매수","장내매수"),"현금매도","장내매도"))</f>
        <v/>
      </c>
      <c r="F67" t="str">
        <f>IF(INDEX(키움raw!A:A,2*ROW()-2)="","",INDEX(키움raw!E:E,2*ROW()-2))</f>
        <v/>
      </c>
      <c r="G67" t="str">
        <f>IF(INDEX(키움raw!A:A,2*ROW()-2)="","",INDEX(키움raw!F:F,2*ROW()-2))</f>
        <v/>
      </c>
      <c r="X67" t="str">
        <f>IF(INDEX(키움raw!A:A,2*ROW()-2)="","",TEXT(INDEX(키움raw!D:D,2*ROW()-3),"000000"))</f>
        <v/>
      </c>
      <c r="AA67" t="str">
        <f>IF(INDEX(키움raw!A:A,2*ROW()-2)="","",INDEX(키움raw!A:A,2*ROW()-2))</f>
        <v/>
      </c>
    </row>
    <row r="68" spans="1:27" x14ac:dyDescent="0.3">
      <c r="A68" t="str">
        <f>IF(INDEX(키움raw!A:A,2*ROW()-2)="","",$B$1)</f>
        <v/>
      </c>
      <c r="B68" t="str">
        <f>IF(INDEX(키움raw!A:A,2*ROW()-2)="","",INDEX(키움raw!A:A,2*ROW()-2))</f>
        <v/>
      </c>
      <c r="C68" t="str">
        <f>IF(INDEX(키움raw!A:A,2*ROW()-2)="","",INDEX(키움raw!K:K,2*ROW()-2))</f>
        <v/>
      </c>
      <c r="D68" t="str">
        <f>IF(INDEX(키움raw!A:A,2*ROW()-2)="","",INDEX(키움raw!B:B,2*ROW()-2))</f>
        <v/>
      </c>
      <c r="E68" t="str">
        <f>IF(INDEX(키움raw!A:A,2*ROW()-2)="","",INDEX(키움raw!D:D,2*ROW()-2)&amp;" "&amp;SUBSTITUTE(SUBSTITUTE(INDEX(키움raw!F:F,2*ROW()-3),"현금매수","장내매수"),"현금매도","장내매도"))</f>
        <v/>
      </c>
      <c r="F68" t="str">
        <f>IF(INDEX(키움raw!A:A,2*ROW()-2)="","",INDEX(키움raw!E:E,2*ROW()-2))</f>
        <v/>
      </c>
      <c r="G68" t="str">
        <f>IF(INDEX(키움raw!A:A,2*ROW()-2)="","",INDEX(키움raw!F:F,2*ROW()-2))</f>
        <v/>
      </c>
      <c r="X68" t="str">
        <f>IF(INDEX(키움raw!A:A,2*ROW()-2)="","",TEXT(INDEX(키움raw!D:D,2*ROW()-3),"000000"))</f>
        <v/>
      </c>
      <c r="AA68" t="str">
        <f>IF(INDEX(키움raw!A:A,2*ROW()-2)="","",INDEX(키움raw!A:A,2*ROW()-2))</f>
        <v/>
      </c>
    </row>
    <row r="69" spans="1:27" x14ac:dyDescent="0.3">
      <c r="A69" t="str">
        <f>IF(INDEX(키움raw!A:A,2*ROW()-2)="","",$B$1)</f>
        <v/>
      </c>
      <c r="B69" t="str">
        <f>IF(INDEX(키움raw!A:A,2*ROW()-2)="","",INDEX(키움raw!A:A,2*ROW()-2))</f>
        <v/>
      </c>
      <c r="C69" t="str">
        <f>IF(INDEX(키움raw!A:A,2*ROW()-2)="","",INDEX(키움raw!K:K,2*ROW()-2))</f>
        <v/>
      </c>
      <c r="D69" t="str">
        <f>IF(INDEX(키움raw!A:A,2*ROW()-2)="","",INDEX(키움raw!B:B,2*ROW()-2))</f>
        <v/>
      </c>
      <c r="E69" t="str">
        <f>IF(INDEX(키움raw!A:A,2*ROW()-2)="","",INDEX(키움raw!D:D,2*ROW()-2)&amp;" "&amp;SUBSTITUTE(SUBSTITUTE(INDEX(키움raw!F:F,2*ROW()-3),"현금매수","장내매수"),"현금매도","장내매도"))</f>
        <v/>
      </c>
      <c r="F69" t="str">
        <f>IF(INDEX(키움raw!A:A,2*ROW()-2)="","",INDEX(키움raw!E:E,2*ROW()-2))</f>
        <v/>
      </c>
      <c r="G69" t="str">
        <f>IF(INDEX(키움raw!A:A,2*ROW()-2)="","",INDEX(키움raw!F:F,2*ROW()-2))</f>
        <v/>
      </c>
      <c r="X69" t="str">
        <f>IF(INDEX(키움raw!A:A,2*ROW()-2)="","",TEXT(INDEX(키움raw!D:D,2*ROW()-3),"000000"))</f>
        <v/>
      </c>
      <c r="AA69" t="str">
        <f>IF(INDEX(키움raw!A:A,2*ROW()-2)="","",INDEX(키움raw!A:A,2*ROW()-2))</f>
        <v/>
      </c>
    </row>
    <row r="70" spans="1:27" x14ac:dyDescent="0.3">
      <c r="A70" t="str">
        <f>IF(INDEX(키움raw!A:A,2*ROW()-2)="","",$B$1)</f>
        <v/>
      </c>
      <c r="B70" t="str">
        <f>IF(INDEX(키움raw!A:A,2*ROW()-2)="","",INDEX(키움raw!A:A,2*ROW()-2))</f>
        <v/>
      </c>
      <c r="C70" t="str">
        <f>IF(INDEX(키움raw!A:A,2*ROW()-2)="","",INDEX(키움raw!K:K,2*ROW()-2))</f>
        <v/>
      </c>
      <c r="D70" t="str">
        <f>IF(INDEX(키움raw!A:A,2*ROW()-2)="","",INDEX(키움raw!B:B,2*ROW()-2))</f>
        <v/>
      </c>
      <c r="E70" t="str">
        <f>IF(INDEX(키움raw!A:A,2*ROW()-2)="","",INDEX(키움raw!D:D,2*ROW()-2)&amp;" "&amp;SUBSTITUTE(SUBSTITUTE(INDEX(키움raw!F:F,2*ROW()-3),"현금매수","장내매수"),"현금매도","장내매도"))</f>
        <v/>
      </c>
      <c r="F70" t="str">
        <f>IF(INDEX(키움raw!A:A,2*ROW()-2)="","",INDEX(키움raw!E:E,2*ROW()-2))</f>
        <v/>
      </c>
      <c r="G70" t="str">
        <f>IF(INDEX(키움raw!A:A,2*ROW()-2)="","",INDEX(키움raw!F:F,2*ROW()-2))</f>
        <v/>
      </c>
      <c r="X70" t="str">
        <f>IF(INDEX(키움raw!A:A,2*ROW()-2)="","",TEXT(INDEX(키움raw!D:D,2*ROW()-3),"000000"))</f>
        <v/>
      </c>
      <c r="AA70" t="str">
        <f>IF(INDEX(키움raw!A:A,2*ROW()-2)="","",INDEX(키움raw!A:A,2*ROW()-2))</f>
        <v/>
      </c>
    </row>
    <row r="71" spans="1:27" x14ac:dyDescent="0.3">
      <c r="A71" t="str">
        <f>IF(INDEX(키움raw!A:A,2*ROW()-2)="","",$B$1)</f>
        <v/>
      </c>
      <c r="B71" t="str">
        <f>IF(INDEX(키움raw!A:A,2*ROW()-2)="","",INDEX(키움raw!A:A,2*ROW()-2))</f>
        <v/>
      </c>
      <c r="C71" t="str">
        <f>IF(INDEX(키움raw!A:A,2*ROW()-2)="","",INDEX(키움raw!K:K,2*ROW()-2))</f>
        <v/>
      </c>
      <c r="D71" t="str">
        <f>IF(INDEX(키움raw!A:A,2*ROW()-2)="","",INDEX(키움raw!B:B,2*ROW()-2))</f>
        <v/>
      </c>
      <c r="E71" t="str">
        <f>IF(INDEX(키움raw!A:A,2*ROW()-2)="","",INDEX(키움raw!D:D,2*ROW()-2)&amp;" "&amp;SUBSTITUTE(SUBSTITUTE(INDEX(키움raw!F:F,2*ROW()-3),"현금매수","장내매수"),"현금매도","장내매도"))</f>
        <v/>
      </c>
      <c r="F71" t="str">
        <f>IF(INDEX(키움raw!A:A,2*ROW()-2)="","",INDEX(키움raw!E:E,2*ROW()-2))</f>
        <v/>
      </c>
      <c r="G71" t="str">
        <f>IF(INDEX(키움raw!A:A,2*ROW()-2)="","",INDEX(키움raw!F:F,2*ROW()-2))</f>
        <v/>
      </c>
      <c r="X71" t="str">
        <f>IF(INDEX(키움raw!A:A,2*ROW()-2)="","",TEXT(INDEX(키움raw!D:D,2*ROW()-3),"000000"))</f>
        <v/>
      </c>
      <c r="AA71" t="str">
        <f>IF(INDEX(키움raw!A:A,2*ROW()-2)="","",INDEX(키움raw!A:A,2*ROW()-2))</f>
        <v/>
      </c>
    </row>
    <row r="72" spans="1:27" x14ac:dyDescent="0.3">
      <c r="A72" t="str">
        <f>IF(INDEX(키움raw!A:A,2*ROW()-2)="","",$B$1)</f>
        <v/>
      </c>
      <c r="B72" t="str">
        <f>IF(INDEX(키움raw!A:A,2*ROW()-2)="","",INDEX(키움raw!A:A,2*ROW()-2))</f>
        <v/>
      </c>
      <c r="C72" t="str">
        <f>IF(INDEX(키움raw!A:A,2*ROW()-2)="","",INDEX(키움raw!K:K,2*ROW()-2))</f>
        <v/>
      </c>
      <c r="D72" t="str">
        <f>IF(INDEX(키움raw!A:A,2*ROW()-2)="","",INDEX(키움raw!B:B,2*ROW()-2))</f>
        <v/>
      </c>
      <c r="E72" t="str">
        <f>IF(INDEX(키움raw!A:A,2*ROW()-2)="","",INDEX(키움raw!D:D,2*ROW()-2)&amp;" "&amp;SUBSTITUTE(SUBSTITUTE(INDEX(키움raw!F:F,2*ROW()-3),"현금매수","장내매수"),"현금매도","장내매도"))</f>
        <v/>
      </c>
      <c r="F72" t="str">
        <f>IF(INDEX(키움raw!A:A,2*ROW()-2)="","",INDEX(키움raw!E:E,2*ROW()-2))</f>
        <v/>
      </c>
      <c r="G72" t="str">
        <f>IF(INDEX(키움raw!A:A,2*ROW()-2)="","",INDEX(키움raw!F:F,2*ROW()-2))</f>
        <v/>
      </c>
      <c r="X72" t="str">
        <f>IF(INDEX(키움raw!A:A,2*ROW()-2)="","",TEXT(INDEX(키움raw!D:D,2*ROW()-3),"000000"))</f>
        <v/>
      </c>
      <c r="AA72" t="str">
        <f>IF(INDEX(키움raw!A:A,2*ROW()-2)="","",INDEX(키움raw!A:A,2*ROW()-2))</f>
        <v/>
      </c>
    </row>
    <row r="73" spans="1:27" x14ac:dyDescent="0.3">
      <c r="A73" t="str">
        <f>IF(INDEX(키움raw!A:A,2*ROW()-2)="","",$B$1)</f>
        <v/>
      </c>
      <c r="B73" t="str">
        <f>IF(INDEX(키움raw!A:A,2*ROW()-2)="","",INDEX(키움raw!A:A,2*ROW()-2))</f>
        <v/>
      </c>
      <c r="C73" t="str">
        <f>IF(INDEX(키움raw!A:A,2*ROW()-2)="","",INDEX(키움raw!K:K,2*ROW()-2))</f>
        <v/>
      </c>
      <c r="D73" t="str">
        <f>IF(INDEX(키움raw!A:A,2*ROW()-2)="","",INDEX(키움raw!B:B,2*ROW()-2))</f>
        <v/>
      </c>
      <c r="E73" t="str">
        <f>IF(INDEX(키움raw!A:A,2*ROW()-2)="","",INDEX(키움raw!D:D,2*ROW()-2)&amp;" "&amp;SUBSTITUTE(SUBSTITUTE(INDEX(키움raw!F:F,2*ROW()-3),"현금매수","장내매수"),"현금매도","장내매도"))</f>
        <v/>
      </c>
      <c r="F73" t="str">
        <f>IF(INDEX(키움raw!A:A,2*ROW()-2)="","",INDEX(키움raw!E:E,2*ROW()-2))</f>
        <v/>
      </c>
      <c r="G73" t="str">
        <f>IF(INDEX(키움raw!A:A,2*ROW()-2)="","",INDEX(키움raw!F:F,2*ROW()-2))</f>
        <v/>
      </c>
      <c r="X73" t="str">
        <f>IF(INDEX(키움raw!A:A,2*ROW()-2)="","",TEXT(INDEX(키움raw!D:D,2*ROW()-3),"000000"))</f>
        <v/>
      </c>
      <c r="AA73" t="str">
        <f>IF(INDEX(키움raw!A:A,2*ROW()-2)="","",INDEX(키움raw!A:A,2*ROW()-2))</f>
        <v/>
      </c>
    </row>
    <row r="74" spans="1:27" x14ac:dyDescent="0.3">
      <c r="A74" t="str">
        <f>IF(INDEX(키움raw!A:A,2*ROW()-2)="","",$B$1)</f>
        <v/>
      </c>
      <c r="B74" t="str">
        <f>IF(INDEX(키움raw!A:A,2*ROW()-2)="","",INDEX(키움raw!A:A,2*ROW()-2))</f>
        <v/>
      </c>
      <c r="C74" t="str">
        <f>IF(INDEX(키움raw!A:A,2*ROW()-2)="","",INDEX(키움raw!K:K,2*ROW()-2))</f>
        <v/>
      </c>
      <c r="D74" t="str">
        <f>IF(INDEX(키움raw!A:A,2*ROW()-2)="","",INDEX(키움raw!B:B,2*ROW()-2))</f>
        <v/>
      </c>
      <c r="E74" t="str">
        <f>IF(INDEX(키움raw!A:A,2*ROW()-2)="","",INDEX(키움raw!D:D,2*ROW()-2)&amp;" "&amp;SUBSTITUTE(SUBSTITUTE(INDEX(키움raw!F:F,2*ROW()-3),"현금매수","장내매수"),"현금매도","장내매도"))</f>
        <v/>
      </c>
      <c r="F74" t="str">
        <f>IF(INDEX(키움raw!A:A,2*ROW()-2)="","",INDEX(키움raw!E:E,2*ROW()-2))</f>
        <v/>
      </c>
      <c r="G74" t="str">
        <f>IF(INDEX(키움raw!A:A,2*ROW()-2)="","",INDEX(키움raw!F:F,2*ROW()-2))</f>
        <v/>
      </c>
      <c r="X74" t="str">
        <f>IF(INDEX(키움raw!A:A,2*ROW()-2)="","",TEXT(INDEX(키움raw!D:D,2*ROW()-3),"000000"))</f>
        <v/>
      </c>
      <c r="AA74" t="str">
        <f>IF(INDEX(키움raw!A:A,2*ROW()-2)="","",INDEX(키움raw!A:A,2*ROW()-2))</f>
        <v/>
      </c>
    </row>
    <row r="75" spans="1:27" x14ac:dyDescent="0.3">
      <c r="A75" t="str">
        <f>IF(INDEX(키움raw!A:A,2*ROW()-2)="","",$B$1)</f>
        <v/>
      </c>
      <c r="B75" t="str">
        <f>IF(INDEX(키움raw!A:A,2*ROW()-2)="","",INDEX(키움raw!A:A,2*ROW()-2))</f>
        <v/>
      </c>
      <c r="C75" t="str">
        <f>IF(INDEX(키움raw!A:A,2*ROW()-2)="","",INDEX(키움raw!K:K,2*ROW()-2))</f>
        <v/>
      </c>
      <c r="D75" t="str">
        <f>IF(INDEX(키움raw!A:A,2*ROW()-2)="","",INDEX(키움raw!B:B,2*ROW()-2))</f>
        <v/>
      </c>
      <c r="E75" t="str">
        <f>IF(INDEX(키움raw!A:A,2*ROW()-2)="","",INDEX(키움raw!D:D,2*ROW()-2)&amp;" "&amp;SUBSTITUTE(SUBSTITUTE(INDEX(키움raw!F:F,2*ROW()-3),"현금매수","장내매수"),"현금매도","장내매도"))</f>
        <v/>
      </c>
      <c r="F75" t="str">
        <f>IF(INDEX(키움raw!A:A,2*ROW()-2)="","",INDEX(키움raw!E:E,2*ROW()-2))</f>
        <v/>
      </c>
      <c r="G75" t="str">
        <f>IF(INDEX(키움raw!A:A,2*ROW()-2)="","",INDEX(키움raw!F:F,2*ROW()-2))</f>
        <v/>
      </c>
      <c r="X75" t="str">
        <f>IF(INDEX(키움raw!A:A,2*ROW()-2)="","",TEXT(INDEX(키움raw!D:D,2*ROW()-3),"000000"))</f>
        <v/>
      </c>
      <c r="AA75" t="str">
        <f>IF(INDEX(키움raw!A:A,2*ROW()-2)="","",INDEX(키움raw!A:A,2*ROW()-2))</f>
        <v/>
      </c>
    </row>
    <row r="76" spans="1:27" x14ac:dyDescent="0.3">
      <c r="A76" t="str">
        <f>IF(INDEX(키움raw!A:A,2*ROW()-2)="","",$B$1)</f>
        <v/>
      </c>
      <c r="B76" t="str">
        <f>IF(INDEX(키움raw!A:A,2*ROW()-2)="","",INDEX(키움raw!A:A,2*ROW()-2))</f>
        <v/>
      </c>
      <c r="C76" t="str">
        <f>IF(INDEX(키움raw!A:A,2*ROW()-2)="","",INDEX(키움raw!K:K,2*ROW()-2))</f>
        <v/>
      </c>
      <c r="D76" t="str">
        <f>IF(INDEX(키움raw!A:A,2*ROW()-2)="","",INDEX(키움raw!B:B,2*ROW()-2))</f>
        <v/>
      </c>
      <c r="E76" t="str">
        <f>IF(INDEX(키움raw!A:A,2*ROW()-2)="","",INDEX(키움raw!D:D,2*ROW()-2)&amp;" "&amp;SUBSTITUTE(SUBSTITUTE(INDEX(키움raw!F:F,2*ROW()-3),"현금매수","장내매수"),"현금매도","장내매도"))</f>
        <v/>
      </c>
      <c r="F76" t="str">
        <f>IF(INDEX(키움raw!A:A,2*ROW()-2)="","",INDEX(키움raw!E:E,2*ROW()-2))</f>
        <v/>
      </c>
      <c r="G76" t="str">
        <f>IF(INDEX(키움raw!A:A,2*ROW()-2)="","",INDEX(키움raw!F:F,2*ROW()-2))</f>
        <v/>
      </c>
      <c r="X76" t="str">
        <f>IF(INDEX(키움raw!A:A,2*ROW()-2)="","",TEXT(INDEX(키움raw!D:D,2*ROW()-3),"000000"))</f>
        <v/>
      </c>
      <c r="AA76" t="str">
        <f>IF(INDEX(키움raw!A:A,2*ROW()-2)="","",INDEX(키움raw!A:A,2*ROW()-2))</f>
        <v/>
      </c>
    </row>
    <row r="77" spans="1:27" x14ac:dyDescent="0.3">
      <c r="A77" t="str">
        <f>IF(INDEX(키움raw!A:A,2*ROW()-2)="","",$B$1)</f>
        <v/>
      </c>
      <c r="B77" t="str">
        <f>IF(INDEX(키움raw!A:A,2*ROW()-2)="","",INDEX(키움raw!A:A,2*ROW()-2))</f>
        <v/>
      </c>
      <c r="C77" t="str">
        <f>IF(INDEX(키움raw!A:A,2*ROW()-2)="","",INDEX(키움raw!K:K,2*ROW()-2))</f>
        <v/>
      </c>
      <c r="D77" t="str">
        <f>IF(INDEX(키움raw!A:A,2*ROW()-2)="","",INDEX(키움raw!B:B,2*ROW()-2))</f>
        <v/>
      </c>
      <c r="E77" t="str">
        <f>IF(INDEX(키움raw!A:A,2*ROW()-2)="","",INDEX(키움raw!D:D,2*ROW()-2)&amp;" "&amp;SUBSTITUTE(SUBSTITUTE(INDEX(키움raw!F:F,2*ROW()-3),"현금매수","장내매수"),"현금매도","장내매도"))</f>
        <v/>
      </c>
      <c r="F77" t="str">
        <f>IF(INDEX(키움raw!A:A,2*ROW()-2)="","",INDEX(키움raw!E:E,2*ROW()-2))</f>
        <v/>
      </c>
      <c r="G77" t="str">
        <f>IF(INDEX(키움raw!A:A,2*ROW()-2)="","",INDEX(키움raw!F:F,2*ROW()-2))</f>
        <v/>
      </c>
      <c r="X77" t="str">
        <f>IF(INDEX(키움raw!A:A,2*ROW()-2)="","",TEXT(INDEX(키움raw!D:D,2*ROW()-3),"000000"))</f>
        <v/>
      </c>
      <c r="AA77" t="str">
        <f>IF(INDEX(키움raw!A:A,2*ROW()-2)="","",INDEX(키움raw!A:A,2*ROW()-2))</f>
        <v/>
      </c>
    </row>
    <row r="78" spans="1:27" x14ac:dyDescent="0.3">
      <c r="A78" t="str">
        <f>IF(INDEX(키움raw!A:A,2*ROW()-2)="","",$B$1)</f>
        <v/>
      </c>
      <c r="B78" t="str">
        <f>IF(INDEX(키움raw!A:A,2*ROW()-2)="","",INDEX(키움raw!A:A,2*ROW()-2))</f>
        <v/>
      </c>
      <c r="C78" t="str">
        <f>IF(INDEX(키움raw!A:A,2*ROW()-2)="","",INDEX(키움raw!K:K,2*ROW()-2))</f>
        <v/>
      </c>
      <c r="D78" t="str">
        <f>IF(INDEX(키움raw!A:A,2*ROW()-2)="","",INDEX(키움raw!B:B,2*ROW()-2))</f>
        <v/>
      </c>
      <c r="E78" t="str">
        <f>IF(INDEX(키움raw!A:A,2*ROW()-2)="","",INDEX(키움raw!D:D,2*ROW()-2)&amp;" "&amp;SUBSTITUTE(SUBSTITUTE(INDEX(키움raw!F:F,2*ROW()-3),"현금매수","장내매수"),"현금매도","장내매도"))</f>
        <v/>
      </c>
      <c r="F78" t="str">
        <f>IF(INDEX(키움raw!A:A,2*ROW()-2)="","",INDEX(키움raw!E:E,2*ROW()-2))</f>
        <v/>
      </c>
      <c r="G78" t="str">
        <f>IF(INDEX(키움raw!A:A,2*ROW()-2)="","",INDEX(키움raw!F:F,2*ROW()-2))</f>
        <v/>
      </c>
      <c r="X78" t="str">
        <f>IF(INDEX(키움raw!A:A,2*ROW()-2)="","",TEXT(INDEX(키움raw!D:D,2*ROW()-3),"000000"))</f>
        <v/>
      </c>
      <c r="AA78" t="str">
        <f>IF(INDEX(키움raw!A:A,2*ROW()-2)="","",INDEX(키움raw!A:A,2*ROW()-2))</f>
        <v/>
      </c>
    </row>
    <row r="79" spans="1:27" x14ac:dyDescent="0.3">
      <c r="A79" t="str">
        <f>IF(INDEX(키움raw!A:A,2*ROW()-2)="","",$B$1)</f>
        <v/>
      </c>
      <c r="B79" t="str">
        <f>IF(INDEX(키움raw!A:A,2*ROW()-2)="","",INDEX(키움raw!A:A,2*ROW()-2))</f>
        <v/>
      </c>
      <c r="C79" t="str">
        <f>IF(INDEX(키움raw!A:A,2*ROW()-2)="","",INDEX(키움raw!K:K,2*ROW()-2))</f>
        <v/>
      </c>
      <c r="D79" t="str">
        <f>IF(INDEX(키움raw!A:A,2*ROW()-2)="","",INDEX(키움raw!B:B,2*ROW()-2))</f>
        <v/>
      </c>
      <c r="E79" t="str">
        <f>IF(INDEX(키움raw!A:A,2*ROW()-2)="","",INDEX(키움raw!D:D,2*ROW()-2)&amp;" "&amp;SUBSTITUTE(SUBSTITUTE(INDEX(키움raw!F:F,2*ROW()-3),"현금매수","장내매수"),"현금매도","장내매도"))</f>
        <v/>
      </c>
      <c r="F79" t="str">
        <f>IF(INDEX(키움raw!A:A,2*ROW()-2)="","",INDEX(키움raw!E:E,2*ROW()-2))</f>
        <v/>
      </c>
      <c r="G79" t="str">
        <f>IF(INDEX(키움raw!A:A,2*ROW()-2)="","",INDEX(키움raw!F:F,2*ROW()-2))</f>
        <v/>
      </c>
      <c r="X79" t="str">
        <f>IF(INDEX(키움raw!A:A,2*ROW()-2)="","",TEXT(INDEX(키움raw!D:D,2*ROW()-3),"000000"))</f>
        <v/>
      </c>
      <c r="AA79" t="str">
        <f>IF(INDEX(키움raw!A:A,2*ROW()-2)="","",INDEX(키움raw!A:A,2*ROW()-2))</f>
        <v/>
      </c>
    </row>
    <row r="80" spans="1:27" x14ac:dyDescent="0.3">
      <c r="A80" t="str">
        <f>IF(INDEX(키움raw!A:A,2*ROW()-2)="","",$B$1)</f>
        <v/>
      </c>
      <c r="B80" t="str">
        <f>IF(INDEX(키움raw!A:A,2*ROW()-2)="","",INDEX(키움raw!A:A,2*ROW()-2))</f>
        <v/>
      </c>
      <c r="C80" t="str">
        <f>IF(INDEX(키움raw!A:A,2*ROW()-2)="","",INDEX(키움raw!K:K,2*ROW()-2))</f>
        <v/>
      </c>
      <c r="D80" t="str">
        <f>IF(INDEX(키움raw!A:A,2*ROW()-2)="","",INDEX(키움raw!B:B,2*ROW()-2))</f>
        <v/>
      </c>
      <c r="E80" t="str">
        <f>IF(INDEX(키움raw!A:A,2*ROW()-2)="","",INDEX(키움raw!D:D,2*ROW()-2)&amp;" "&amp;SUBSTITUTE(SUBSTITUTE(INDEX(키움raw!F:F,2*ROW()-3),"현금매수","장내매수"),"현금매도","장내매도"))</f>
        <v/>
      </c>
      <c r="F80" t="str">
        <f>IF(INDEX(키움raw!A:A,2*ROW()-2)="","",INDEX(키움raw!E:E,2*ROW()-2))</f>
        <v/>
      </c>
      <c r="G80" t="str">
        <f>IF(INDEX(키움raw!A:A,2*ROW()-2)="","",INDEX(키움raw!F:F,2*ROW()-2))</f>
        <v/>
      </c>
      <c r="X80" t="str">
        <f>IF(INDEX(키움raw!A:A,2*ROW()-2)="","",TEXT(INDEX(키움raw!D:D,2*ROW()-3),"000000"))</f>
        <v/>
      </c>
      <c r="AA80" t="str">
        <f>IF(INDEX(키움raw!A:A,2*ROW()-2)="","",INDEX(키움raw!A:A,2*ROW()-2))</f>
        <v/>
      </c>
    </row>
    <row r="81" spans="1:27" x14ac:dyDescent="0.3">
      <c r="A81" t="str">
        <f>IF(INDEX(키움raw!A:A,2*ROW()-2)="","",$B$1)</f>
        <v/>
      </c>
      <c r="B81" t="str">
        <f>IF(INDEX(키움raw!A:A,2*ROW()-2)="","",INDEX(키움raw!A:A,2*ROW()-2))</f>
        <v/>
      </c>
      <c r="C81" t="str">
        <f>IF(INDEX(키움raw!A:A,2*ROW()-2)="","",INDEX(키움raw!K:K,2*ROW()-2))</f>
        <v/>
      </c>
      <c r="D81" t="str">
        <f>IF(INDEX(키움raw!A:A,2*ROW()-2)="","",INDEX(키움raw!B:B,2*ROW()-2))</f>
        <v/>
      </c>
      <c r="E81" t="str">
        <f>IF(INDEX(키움raw!A:A,2*ROW()-2)="","",INDEX(키움raw!D:D,2*ROW()-2)&amp;" "&amp;SUBSTITUTE(SUBSTITUTE(INDEX(키움raw!F:F,2*ROW()-3),"현금매수","장내매수"),"현금매도","장내매도"))</f>
        <v/>
      </c>
      <c r="F81" t="str">
        <f>IF(INDEX(키움raw!A:A,2*ROW()-2)="","",INDEX(키움raw!E:E,2*ROW()-2))</f>
        <v/>
      </c>
      <c r="G81" t="str">
        <f>IF(INDEX(키움raw!A:A,2*ROW()-2)="","",INDEX(키움raw!F:F,2*ROW()-2))</f>
        <v/>
      </c>
      <c r="X81" t="str">
        <f>IF(INDEX(키움raw!A:A,2*ROW()-2)="","",TEXT(INDEX(키움raw!D:D,2*ROW()-3),"000000"))</f>
        <v/>
      </c>
      <c r="AA81" t="str">
        <f>IF(INDEX(키움raw!A:A,2*ROW()-2)="","",INDEX(키움raw!A:A,2*ROW()-2))</f>
        <v/>
      </c>
    </row>
    <row r="82" spans="1:27" x14ac:dyDescent="0.3">
      <c r="A82" t="str">
        <f>IF(INDEX(키움raw!A:A,2*ROW()-2)="","",$B$1)</f>
        <v/>
      </c>
      <c r="B82" t="str">
        <f>IF(INDEX(키움raw!A:A,2*ROW()-2)="","",INDEX(키움raw!A:A,2*ROW()-2))</f>
        <v/>
      </c>
      <c r="C82" t="str">
        <f>IF(INDEX(키움raw!A:A,2*ROW()-2)="","",INDEX(키움raw!K:K,2*ROW()-2))</f>
        <v/>
      </c>
      <c r="D82" t="str">
        <f>IF(INDEX(키움raw!A:A,2*ROW()-2)="","",INDEX(키움raw!B:B,2*ROW()-2))</f>
        <v/>
      </c>
      <c r="E82" t="str">
        <f>IF(INDEX(키움raw!A:A,2*ROW()-2)="","",INDEX(키움raw!D:D,2*ROW()-2)&amp;" "&amp;SUBSTITUTE(SUBSTITUTE(INDEX(키움raw!F:F,2*ROW()-3),"현금매수","장내매수"),"현금매도","장내매도"))</f>
        <v/>
      </c>
      <c r="F82" t="str">
        <f>IF(INDEX(키움raw!A:A,2*ROW()-2)="","",INDEX(키움raw!E:E,2*ROW()-2))</f>
        <v/>
      </c>
      <c r="G82" t="str">
        <f>IF(INDEX(키움raw!A:A,2*ROW()-2)="","",INDEX(키움raw!F:F,2*ROW()-2))</f>
        <v/>
      </c>
      <c r="X82" t="str">
        <f>IF(INDEX(키움raw!A:A,2*ROW()-2)="","",TEXT(INDEX(키움raw!D:D,2*ROW()-3),"000000"))</f>
        <v/>
      </c>
      <c r="AA82" t="str">
        <f>IF(INDEX(키움raw!A:A,2*ROW()-2)="","",INDEX(키움raw!A:A,2*ROW()-2))</f>
        <v/>
      </c>
    </row>
    <row r="83" spans="1:27" x14ac:dyDescent="0.3">
      <c r="A83" t="str">
        <f>IF(INDEX(키움raw!A:A,2*ROW()-2)="","",$B$1)</f>
        <v/>
      </c>
      <c r="B83" t="str">
        <f>IF(INDEX(키움raw!A:A,2*ROW()-2)="","",INDEX(키움raw!A:A,2*ROW()-2))</f>
        <v/>
      </c>
      <c r="C83" t="str">
        <f>IF(INDEX(키움raw!A:A,2*ROW()-2)="","",INDEX(키움raw!K:K,2*ROW()-2))</f>
        <v/>
      </c>
      <c r="D83" t="str">
        <f>IF(INDEX(키움raw!A:A,2*ROW()-2)="","",INDEX(키움raw!B:B,2*ROW()-2))</f>
        <v/>
      </c>
      <c r="E83" t="str">
        <f>IF(INDEX(키움raw!A:A,2*ROW()-2)="","",INDEX(키움raw!D:D,2*ROW()-2)&amp;" "&amp;SUBSTITUTE(SUBSTITUTE(INDEX(키움raw!F:F,2*ROW()-3),"현금매수","장내매수"),"현금매도","장내매도"))</f>
        <v/>
      </c>
      <c r="F83" t="str">
        <f>IF(INDEX(키움raw!A:A,2*ROW()-2)="","",INDEX(키움raw!E:E,2*ROW()-2))</f>
        <v/>
      </c>
      <c r="G83" t="str">
        <f>IF(INDEX(키움raw!A:A,2*ROW()-2)="","",INDEX(키움raw!F:F,2*ROW()-2))</f>
        <v/>
      </c>
      <c r="X83" t="str">
        <f>IF(INDEX(키움raw!A:A,2*ROW()-2)="","",TEXT(INDEX(키움raw!D:D,2*ROW()-3),"000000"))</f>
        <v/>
      </c>
      <c r="AA83" t="str">
        <f>IF(INDEX(키움raw!A:A,2*ROW()-2)="","",INDEX(키움raw!A:A,2*ROW()-2))</f>
        <v/>
      </c>
    </row>
    <row r="84" spans="1:27" x14ac:dyDescent="0.3">
      <c r="A84" t="str">
        <f>IF(INDEX(키움raw!A:A,2*ROW()-2)="","",$B$1)</f>
        <v/>
      </c>
      <c r="B84" t="str">
        <f>IF(INDEX(키움raw!A:A,2*ROW()-2)="","",INDEX(키움raw!A:A,2*ROW()-2))</f>
        <v/>
      </c>
      <c r="C84" t="str">
        <f>IF(INDEX(키움raw!A:A,2*ROW()-2)="","",INDEX(키움raw!K:K,2*ROW()-2))</f>
        <v/>
      </c>
      <c r="D84" t="str">
        <f>IF(INDEX(키움raw!A:A,2*ROW()-2)="","",INDEX(키움raw!B:B,2*ROW()-2))</f>
        <v/>
      </c>
      <c r="E84" t="str">
        <f>IF(INDEX(키움raw!A:A,2*ROW()-2)="","",INDEX(키움raw!D:D,2*ROW()-2)&amp;" "&amp;SUBSTITUTE(SUBSTITUTE(INDEX(키움raw!F:F,2*ROW()-3),"현금매수","장내매수"),"현금매도","장내매도"))</f>
        <v/>
      </c>
      <c r="F84" t="str">
        <f>IF(INDEX(키움raw!A:A,2*ROW()-2)="","",INDEX(키움raw!E:E,2*ROW()-2))</f>
        <v/>
      </c>
      <c r="G84" t="str">
        <f>IF(INDEX(키움raw!A:A,2*ROW()-2)="","",INDEX(키움raw!F:F,2*ROW()-2))</f>
        <v/>
      </c>
      <c r="X84" t="str">
        <f>IF(INDEX(키움raw!A:A,2*ROW()-2)="","",TEXT(INDEX(키움raw!D:D,2*ROW()-3),"000000"))</f>
        <v/>
      </c>
      <c r="AA84" t="str">
        <f>IF(INDEX(키움raw!A:A,2*ROW()-2)="","",INDEX(키움raw!A:A,2*ROW()-2))</f>
        <v/>
      </c>
    </row>
    <row r="85" spans="1:27" x14ac:dyDescent="0.3">
      <c r="A85" t="str">
        <f>IF(INDEX(키움raw!A:A,2*ROW()-2)="","",$B$1)</f>
        <v/>
      </c>
      <c r="B85" t="str">
        <f>IF(INDEX(키움raw!A:A,2*ROW()-2)="","",INDEX(키움raw!A:A,2*ROW()-2))</f>
        <v/>
      </c>
      <c r="C85" t="str">
        <f>IF(INDEX(키움raw!A:A,2*ROW()-2)="","",INDEX(키움raw!K:K,2*ROW()-2))</f>
        <v/>
      </c>
      <c r="D85" t="str">
        <f>IF(INDEX(키움raw!A:A,2*ROW()-2)="","",INDEX(키움raw!B:B,2*ROW()-2))</f>
        <v/>
      </c>
      <c r="E85" t="str">
        <f>IF(INDEX(키움raw!A:A,2*ROW()-2)="","",INDEX(키움raw!D:D,2*ROW()-2)&amp;" "&amp;SUBSTITUTE(SUBSTITUTE(INDEX(키움raw!F:F,2*ROW()-3),"현금매수","장내매수"),"현금매도","장내매도"))</f>
        <v/>
      </c>
      <c r="F85" t="str">
        <f>IF(INDEX(키움raw!A:A,2*ROW()-2)="","",INDEX(키움raw!E:E,2*ROW()-2))</f>
        <v/>
      </c>
      <c r="G85" t="str">
        <f>IF(INDEX(키움raw!A:A,2*ROW()-2)="","",INDEX(키움raw!F:F,2*ROW()-2))</f>
        <v/>
      </c>
      <c r="X85" t="str">
        <f>IF(INDEX(키움raw!A:A,2*ROW()-2)="","",TEXT(INDEX(키움raw!D:D,2*ROW()-3),"000000"))</f>
        <v/>
      </c>
      <c r="AA85" t="str">
        <f>IF(INDEX(키움raw!A:A,2*ROW()-2)="","",INDEX(키움raw!A:A,2*ROW()-2))</f>
        <v/>
      </c>
    </row>
    <row r="86" spans="1:27" x14ac:dyDescent="0.3">
      <c r="A86" t="str">
        <f>IF(INDEX(키움raw!A:A,2*ROW()-2)="","",$B$1)</f>
        <v/>
      </c>
      <c r="B86" t="str">
        <f>IF(INDEX(키움raw!A:A,2*ROW()-2)="","",INDEX(키움raw!A:A,2*ROW()-2))</f>
        <v/>
      </c>
      <c r="C86" t="str">
        <f>IF(INDEX(키움raw!A:A,2*ROW()-2)="","",INDEX(키움raw!K:K,2*ROW()-2))</f>
        <v/>
      </c>
      <c r="D86" t="str">
        <f>IF(INDEX(키움raw!A:A,2*ROW()-2)="","",INDEX(키움raw!B:B,2*ROW()-2))</f>
        <v/>
      </c>
      <c r="E86" t="str">
        <f>IF(INDEX(키움raw!A:A,2*ROW()-2)="","",INDEX(키움raw!D:D,2*ROW()-2)&amp;" "&amp;SUBSTITUTE(SUBSTITUTE(INDEX(키움raw!F:F,2*ROW()-3),"현금매수","장내매수"),"현금매도","장내매도"))</f>
        <v/>
      </c>
      <c r="F86" t="str">
        <f>IF(INDEX(키움raw!A:A,2*ROW()-2)="","",INDEX(키움raw!E:E,2*ROW()-2))</f>
        <v/>
      </c>
      <c r="G86" t="str">
        <f>IF(INDEX(키움raw!A:A,2*ROW()-2)="","",INDEX(키움raw!F:F,2*ROW()-2))</f>
        <v/>
      </c>
      <c r="X86" t="str">
        <f>IF(INDEX(키움raw!A:A,2*ROW()-2)="","",TEXT(INDEX(키움raw!D:D,2*ROW()-3),"000000"))</f>
        <v/>
      </c>
      <c r="AA86" t="str">
        <f>IF(INDEX(키움raw!A:A,2*ROW()-2)="","",INDEX(키움raw!A:A,2*ROW()-2))</f>
        <v/>
      </c>
    </row>
    <row r="87" spans="1:27" x14ac:dyDescent="0.3">
      <c r="A87" t="str">
        <f>IF(INDEX(키움raw!A:A,2*ROW()-2)="","",$B$1)</f>
        <v/>
      </c>
      <c r="B87" t="str">
        <f>IF(INDEX(키움raw!A:A,2*ROW()-2)="","",INDEX(키움raw!A:A,2*ROW()-2))</f>
        <v/>
      </c>
      <c r="C87" t="str">
        <f>IF(INDEX(키움raw!A:A,2*ROW()-2)="","",INDEX(키움raw!K:K,2*ROW()-2))</f>
        <v/>
      </c>
      <c r="D87" t="str">
        <f>IF(INDEX(키움raw!A:A,2*ROW()-2)="","",INDEX(키움raw!B:B,2*ROW()-2))</f>
        <v/>
      </c>
      <c r="E87" t="str">
        <f>IF(INDEX(키움raw!A:A,2*ROW()-2)="","",INDEX(키움raw!D:D,2*ROW()-2)&amp;" "&amp;SUBSTITUTE(SUBSTITUTE(INDEX(키움raw!F:F,2*ROW()-3),"현금매수","장내매수"),"현금매도","장내매도"))</f>
        <v/>
      </c>
      <c r="F87" t="str">
        <f>IF(INDEX(키움raw!A:A,2*ROW()-2)="","",INDEX(키움raw!E:E,2*ROW()-2))</f>
        <v/>
      </c>
      <c r="G87" t="str">
        <f>IF(INDEX(키움raw!A:A,2*ROW()-2)="","",INDEX(키움raw!F:F,2*ROW()-2))</f>
        <v/>
      </c>
      <c r="X87" t="str">
        <f>IF(INDEX(키움raw!A:A,2*ROW()-2)="","",TEXT(INDEX(키움raw!D:D,2*ROW()-3),"000000"))</f>
        <v/>
      </c>
      <c r="AA87" t="str">
        <f>IF(INDEX(키움raw!A:A,2*ROW()-2)="","",INDEX(키움raw!A:A,2*ROW()-2))</f>
        <v/>
      </c>
    </row>
    <row r="88" spans="1:27" x14ac:dyDescent="0.3">
      <c r="A88" t="str">
        <f>IF(INDEX(키움raw!A:A,2*ROW()-2)="","",$B$1)</f>
        <v/>
      </c>
      <c r="B88" t="str">
        <f>IF(INDEX(키움raw!A:A,2*ROW()-2)="","",INDEX(키움raw!A:A,2*ROW()-2))</f>
        <v/>
      </c>
      <c r="C88" t="str">
        <f>IF(INDEX(키움raw!A:A,2*ROW()-2)="","",INDEX(키움raw!K:K,2*ROW()-2))</f>
        <v/>
      </c>
      <c r="D88" t="str">
        <f>IF(INDEX(키움raw!A:A,2*ROW()-2)="","",INDEX(키움raw!B:B,2*ROW()-2))</f>
        <v/>
      </c>
      <c r="E88" t="str">
        <f>IF(INDEX(키움raw!A:A,2*ROW()-2)="","",INDEX(키움raw!D:D,2*ROW()-2)&amp;" "&amp;SUBSTITUTE(SUBSTITUTE(INDEX(키움raw!F:F,2*ROW()-3),"현금매수","장내매수"),"현금매도","장내매도"))</f>
        <v/>
      </c>
      <c r="F88" t="str">
        <f>IF(INDEX(키움raw!A:A,2*ROW()-2)="","",INDEX(키움raw!E:E,2*ROW()-2))</f>
        <v/>
      </c>
      <c r="G88" t="str">
        <f>IF(INDEX(키움raw!A:A,2*ROW()-2)="","",INDEX(키움raw!F:F,2*ROW()-2))</f>
        <v/>
      </c>
      <c r="X88" t="str">
        <f>IF(INDEX(키움raw!A:A,2*ROW()-2)="","",TEXT(INDEX(키움raw!D:D,2*ROW()-3),"000000"))</f>
        <v/>
      </c>
      <c r="AA88" t="str">
        <f>IF(INDEX(키움raw!A:A,2*ROW()-2)="","",INDEX(키움raw!A:A,2*ROW()-2))</f>
        <v/>
      </c>
    </row>
    <row r="89" spans="1:27" x14ac:dyDescent="0.3">
      <c r="A89" t="str">
        <f>IF(INDEX(키움raw!A:A,2*ROW()-2)="","",$B$1)</f>
        <v/>
      </c>
      <c r="B89" t="str">
        <f>IF(INDEX(키움raw!A:A,2*ROW()-2)="","",INDEX(키움raw!A:A,2*ROW()-2))</f>
        <v/>
      </c>
      <c r="C89" t="str">
        <f>IF(INDEX(키움raw!A:A,2*ROW()-2)="","",INDEX(키움raw!K:K,2*ROW()-2))</f>
        <v/>
      </c>
      <c r="D89" t="str">
        <f>IF(INDEX(키움raw!A:A,2*ROW()-2)="","",INDEX(키움raw!B:B,2*ROW()-2))</f>
        <v/>
      </c>
      <c r="E89" t="str">
        <f>IF(INDEX(키움raw!A:A,2*ROW()-2)="","",INDEX(키움raw!D:D,2*ROW()-2)&amp;" "&amp;SUBSTITUTE(SUBSTITUTE(INDEX(키움raw!F:F,2*ROW()-3),"현금매수","장내매수"),"현금매도","장내매도"))</f>
        <v/>
      </c>
      <c r="F89" t="str">
        <f>IF(INDEX(키움raw!A:A,2*ROW()-2)="","",INDEX(키움raw!E:E,2*ROW()-2))</f>
        <v/>
      </c>
      <c r="G89" t="str">
        <f>IF(INDEX(키움raw!A:A,2*ROW()-2)="","",INDEX(키움raw!F:F,2*ROW()-2))</f>
        <v/>
      </c>
      <c r="X89" t="str">
        <f>IF(INDEX(키움raw!A:A,2*ROW()-2)="","",TEXT(INDEX(키움raw!D:D,2*ROW()-3),"000000"))</f>
        <v/>
      </c>
      <c r="AA89" t="str">
        <f>IF(INDEX(키움raw!A:A,2*ROW()-2)="","",INDEX(키움raw!A:A,2*ROW()-2))</f>
        <v/>
      </c>
    </row>
    <row r="90" spans="1:27" x14ac:dyDescent="0.3">
      <c r="A90" t="str">
        <f>IF(INDEX(키움raw!A:A,2*ROW()-2)="","",$B$1)</f>
        <v/>
      </c>
      <c r="B90" t="str">
        <f>IF(INDEX(키움raw!A:A,2*ROW()-2)="","",INDEX(키움raw!A:A,2*ROW()-2))</f>
        <v/>
      </c>
      <c r="C90" t="str">
        <f>IF(INDEX(키움raw!A:A,2*ROW()-2)="","",INDEX(키움raw!K:K,2*ROW()-2))</f>
        <v/>
      </c>
      <c r="D90" t="str">
        <f>IF(INDEX(키움raw!A:A,2*ROW()-2)="","",INDEX(키움raw!B:B,2*ROW()-2))</f>
        <v/>
      </c>
      <c r="E90" t="str">
        <f>IF(INDEX(키움raw!A:A,2*ROW()-2)="","",INDEX(키움raw!D:D,2*ROW()-2)&amp;" "&amp;SUBSTITUTE(SUBSTITUTE(INDEX(키움raw!F:F,2*ROW()-3),"현금매수","장내매수"),"현금매도","장내매도"))</f>
        <v/>
      </c>
      <c r="F90" t="str">
        <f>IF(INDEX(키움raw!A:A,2*ROW()-2)="","",INDEX(키움raw!E:E,2*ROW()-2))</f>
        <v/>
      </c>
      <c r="G90" t="str">
        <f>IF(INDEX(키움raw!A:A,2*ROW()-2)="","",INDEX(키움raw!F:F,2*ROW()-2))</f>
        <v/>
      </c>
      <c r="X90" t="str">
        <f>IF(INDEX(키움raw!A:A,2*ROW()-2)="","",TEXT(INDEX(키움raw!D:D,2*ROW()-3),"000000"))</f>
        <v/>
      </c>
      <c r="AA90" t="str">
        <f>IF(INDEX(키움raw!A:A,2*ROW()-2)="","",INDEX(키움raw!A:A,2*ROW()-2))</f>
        <v/>
      </c>
    </row>
    <row r="91" spans="1:27" x14ac:dyDescent="0.3">
      <c r="A91" t="str">
        <f>IF(INDEX(키움raw!A:A,2*ROW()-2)="","",$B$1)</f>
        <v/>
      </c>
      <c r="B91" t="str">
        <f>IF(INDEX(키움raw!A:A,2*ROW()-2)="","",INDEX(키움raw!A:A,2*ROW()-2))</f>
        <v/>
      </c>
      <c r="C91" t="str">
        <f>IF(INDEX(키움raw!A:A,2*ROW()-2)="","",INDEX(키움raw!K:K,2*ROW()-2))</f>
        <v/>
      </c>
      <c r="D91" t="str">
        <f>IF(INDEX(키움raw!A:A,2*ROW()-2)="","",INDEX(키움raw!B:B,2*ROW()-2))</f>
        <v/>
      </c>
      <c r="E91" t="str">
        <f>IF(INDEX(키움raw!A:A,2*ROW()-2)="","",INDEX(키움raw!D:D,2*ROW()-2)&amp;" "&amp;SUBSTITUTE(SUBSTITUTE(INDEX(키움raw!F:F,2*ROW()-3),"현금매수","장내매수"),"현금매도","장내매도"))</f>
        <v/>
      </c>
      <c r="F91" t="str">
        <f>IF(INDEX(키움raw!A:A,2*ROW()-2)="","",INDEX(키움raw!E:E,2*ROW()-2))</f>
        <v/>
      </c>
      <c r="G91" t="str">
        <f>IF(INDEX(키움raw!A:A,2*ROW()-2)="","",INDEX(키움raw!F:F,2*ROW()-2))</f>
        <v/>
      </c>
      <c r="X91" t="str">
        <f>IF(INDEX(키움raw!A:A,2*ROW()-2)="","",TEXT(INDEX(키움raw!D:D,2*ROW()-3),"000000"))</f>
        <v/>
      </c>
      <c r="AA91" t="str">
        <f>IF(INDEX(키움raw!A:A,2*ROW()-2)="","",INDEX(키움raw!A:A,2*ROW()-2))</f>
        <v/>
      </c>
    </row>
    <row r="92" spans="1:27" x14ac:dyDescent="0.3">
      <c r="A92" t="str">
        <f>IF(INDEX(키움raw!A:A,2*ROW()-2)="","",$B$1)</f>
        <v/>
      </c>
      <c r="B92" t="str">
        <f>IF(INDEX(키움raw!A:A,2*ROW()-2)="","",INDEX(키움raw!A:A,2*ROW()-2))</f>
        <v/>
      </c>
      <c r="C92" t="str">
        <f>IF(INDEX(키움raw!A:A,2*ROW()-2)="","",INDEX(키움raw!K:K,2*ROW()-2))</f>
        <v/>
      </c>
      <c r="D92" t="str">
        <f>IF(INDEX(키움raw!A:A,2*ROW()-2)="","",INDEX(키움raw!B:B,2*ROW()-2))</f>
        <v/>
      </c>
      <c r="E92" t="str">
        <f>IF(INDEX(키움raw!A:A,2*ROW()-2)="","",INDEX(키움raw!D:D,2*ROW()-2)&amp;" "&amp;SUBSTITUTE(SUBSTITUTE(INDEX(키움raw!F:F,2*ROW()-3),"현금매수","장내매수"),"현금매도","장내매도"))</f>
        <v/>
      </c>
      <c r="F92" t="str">
        <f>IF(INDEX(키움raw!A:A,2*ROW()-2)="","",INDEX(키움raw!E:E,2*ROW()-2))</f>
        <v/>
      </c>
      <c r="G92" t="str">
        <f>IF(INDEX(키움raw!A:A,2*ROW()-2)="","",INDEX(키움raw!F:F,2*ROW()-2))</f>
        <v/>
      </c>
      <c r="X92" t="str">
        <f>IF(INDEX(키움raw!A:A,2*ROW()-2)="","",TEXT(INDEX(키움raw!D:D,2*ROW()-3),"000000"))</f>
        <v/>
      </c>
      <c r="AA92" t="str">
        <f>IF(INDEX(키움raw!A:A,2*ROW()-2)="","",INDEX(키움raw!A:A,2*ROW()-2))</f>
        <v/>
      </c>
    </row>
    <row r="93" spans="1:27" x14ac:dyDescent="0.3">
      <c r="A93" t="str">
        <f>IF(INDEX(키움raw!A:A,2*ROW()-2)="","",$B$1)</f>
        <v/>
      </c>
      <c r="B93" t="str">
        <f>IF(INDEX(키움raw!A:A,2*ROW()-2)="","",INDEX(키움raw!A:A,2*ROW()-2))</f>
        <v/>
      </c>
      <c r="C93" t="str">
        <f>IF(INDEX(키움raw!A:A,2*ROW()-2)="","",INDEX(키움raw!K:K,2*ROW()-2))</f>
        <v/>
      </c>
      <c r="D93" t="str">
        <f>IF(INDEX(키움raw!A:A,2*ROW()-2)="","",INDEX(키움raw!B:B,2*ROW()-2))</f>
        <v/>
      </c>
      <c r="E93" t="str">
        <f>IF(INDEX(키움raw!A:A,2*ROW()-2)="","",INDEX(키움raw!D:D,2*ROW()-2)&amp;" "&amp;SUBSTITUTE(SUBSTITUTE(INDEX(키움raw!F:F,2*ROW()-3),"현금매수","장내매수"),"현금매도","장내매도"))</f>
        <v/>
      </c>
      <c r="F93" t="str">
        <f>IF(INDEX(키움raw!A:A,2*ROW()-2)="","",INDEX(키움raw!E:E,2*ROW()-2))</f>
        <v/>
      </c>
      <c r="G93" t="str">
        <f>IF(INDEX(키움raw!A:A,2*ROW()-2)="","",INDEX(키움raw!F:F,2*ROW()-2))</f>
        <v/>
      </c>
      <c r="X93" t="str">
        <f>IF(INDEX(키움raw!A:A,2*ROW()-2)="","",TEXT(INDEX(키움raw!D:D,2*ROW()-3),"000000"))</f>
        <v/>
      </c>
      <c r="AA93" t="str">
        <f>IF(INDEX(키움raw!A:A,2*ROW()-2)="","",INDEX(키움raw!A:A,2*ROW()-2))</f>
        <v/>
      </c>
    </row>
    <row r="94" spans="1:27" x14ac:dyDescent="0.3">
      <c r="A94" t="str">
        <f>IF(INDEX(키움raw!A:A,2*ROW()-2)="","",$B$1)</f>
        <v/>
      </c>
      <c r="B94" t="str">
        <f>IF(INDEX(키움raw!A:A,2*ROW()-2)="","",INDEX(키움raw!A:A,2*ROW()-2))</f>
        <v/>
      </c>
      <c r="C94" t="str">
        <f>IF(INDEX(키움raw!A:A,2*ROW()-2)="","",INDEX(키움raw!K:K,2*ROW()-2))</f>
        <v/>
      </c>
      <c r="D94" t="str">
        <f>IF(INDEX(키움raw!A:A,2*ROW()-2)="","",INDEX(키움raw!B:B,2*ROW()-2))</f>
        <v/>
      </c>
      <c r="E94" t="str">
        <f>IF(INDEX(키움raw!A:A,2*ROW()-2)="","",INDEX(키움raw!D:D,2*ROW()-2)&amp;" "&amp;SUBSTITUTE(SUBSTITUTE(INDEX(키움raw!F:F,2*ROW()-3),"현금매수","장내매수"),"현금매도","장내매도"))</f>
        <v/>
      </c>
      <c r="F94" t="str">
        <f>IF(INDEX(키움raw!A:A,2*ROW()-2)="","",INDEX(키움raw!E:E,2*ROW()-2))</f>
        <v/>
      </c>
      <c r="G94" t="str">
        <f>IF(INDEX(키움raw!A:A,2*ROW()-2)="","",INDEX(키움raw!F:F,2*ROW()-2))</f>
        <v/>
      </c>
      <c r="X94" t="str">
        <f>IF(INDEX(키움raw!A:A,2*ROW()-2)="","",TEXT(INDEX(키움raw!D:D,2*ROW()-3),"000000"))</f>
        <v/>
      </c>
      <c r="AA94" t="str">
        <f>IF(INDEX(키움raw!A:A,2*ROW()-2)="","",INDEX(키움raw!A:A,2*ROW()-2))</f>
        <v/>
      </c>
    </row>
    <row r="95" spans="1:27" x14ac:dyDescent="0.3">
      <c r="A95" t="str">
        <f>IF(INDEX(키움raw!A:A,2*ROW()-2)="","",$B$1)</f>
        <v/>
      </c>
      <c r="B95" t="str">
        <f>IF(INDEX(키움raw!A:A,2*ROW()-2)="","",INDEX(키움raw!A:A,2*ROW()-2))</f>
        <v/>
      </c>
      <c r="C95" t="str">
        <f>IF(INDEX(키움raw!A:A,2*ROW()-2)="","",INDEX(키움raw!K:K,2*ROW()-2))</f>
        <v/>
      </c>
      <c r="D95" t="str">
        <f>IF(INDEX(키움raw!A:A,2*ROW()-2)="","",INDEX(키움raw!B:B,2*ROW()-2))</f>
        <v/>
      </c>
      <c r="E95" t="str">
        <f>IF(INDEX(키움raw!A:A,2*ROW()-2)="","",INDEX(키움raw!D:D,2*ROW()-2)&amp;" "&amp;SUBSTITUTE(SUBSTITUTE(INDEX(키움raw!F:F,2*ROW()-3),"현금매수","장내매수"),"현금매도","장내매도"))</f>
        <v/>
      </c>
      <c r="F95" t="str">
        <f>IF(INDEX(키움raw!A:A,2*ROW()-2)="","",INDEX(키움raw!E:E,2*ROW()-2))</f>
        <v/>
      </c>
      <c r="G95" t="str">
        <f>IF(INDEX(키움raw!A:A,2*ROW()-2)="","",INDEX(키움raw!F:F,2*ROW()-2))</f>
        <v/>
      </c>
      <c r="X95" t="str">
        <f>IF(INDEX(키움raw!A:A,2*ROW()-2)="","",TEXT(INDEX(키움raw!D:D,2*ROW()-3),"000000"))</f>
        <v/>
      </c>
      <c r="AA95" t="str">
        <f>IF(INDEX(키움raw!A:A,2*ROW()-2)="","",INDEX(키움raw!A:A,2*ROW()-2))</f>
        <v/>
      </c>
    </row>
    <row r="96" spans="1:27" x14ac:dyDescent="0.3">
      <c r="A96" t="str">
        <f>IF(INDEX(키움raw!A:A,2*ROW()-2)="","",$B$1)</f>
        <v/>
      </c>
      <c r="B96" t="str">
        <f>IF(INDEX(키움raw!A:A,2*ROW()-2)="","",INDEX(키움raw!A:A,2*ROW()-2))</f>
        <v/>
      </c>
      <c r="C96" t="str">
        <f>IF(INDEX(키움raw!A:A,2*ROW()-2)="","",INDEX(키움raw!K:K,2*ROW()-2))</f>
        <v/>
      </c>
      <c r="D96" t="str">
        <f>IF(INDEX(키움raw!A:A,2*ROW()-2)="","",INDEX(키움raw!B:B,2*ROW()-2))</f>
        <v/>
      </c>
      <c r="E96" t="str">
        <f>IF(INDEX(키움raw!A:A,2*ROW()-2)="","",INDEX(키움raw!D:D,2*ROW()-2)&amp;" "&amp;SUBSTITUTE(SUBSTITUTE(INDEX(키움raw!F:F,2*ROW()-3),"현금매수","장내매수"),"현금매도","장내매도"))</f>
        <v/>
      </c>
      <c r="F96" t="str">
        <f>IF(INDEX(키움raw!A:A,2*ROW()-2)="","",INDEX(키움raw!E:E,2*ROW()-2))</f>
        <v/>
      </c>
      <c r="G96" t="str">
        <f>IF(INDEX(키움raw!A:A,2*ROW()-2)="","",INDEX(키움raw!F:F,2*ROW()-2))</f>
        <v/>
      </c>
      <c r="X96" t="str">
        <f>IF(INDEX(키움raw!A:A,2*ROW()-2)="","",TEXT(INDEX(키움raw!D:D,2*ROW()-3),"000000"))</f>
        <v/>
      </c>
      <c r="AA96" t="str">
        <f>IF(INDEX(키움raw!A:A,2*ROW()-2)="","",INDEX(키움raw!A:A,2*ROW()-2))</f>
        <v/>
      </c>
    </row>
    <row r="97" spans="1:27" x14ac:dyDescent="0.3">
      <c r="A97" t="str">
        <f>IF(INDEX(키움raw!A:A,2*ROW()-2)="","",$B$1)</f>
        <v/>
      </c>
      <c r="B97" t="str">
        <f>IF(INDEX(키움raw!A:A,2*ROW()-2)="","",INDEX(키움raw!A:A,2*ROW()-2))</f>
        <v/>
      </c>
      <c r="C97" t="str">
        <f>IF(INDEX(키움raw!A:A,2*ROW()-2)="","",INDEX(키움raw!K:K,2*ROW()-2))</f>
        <v/>
      </c>
      <c r="D97" t="str">
        <f>IF(INDEX(키움raw!A:A,2*ROW()-2)="","",INDEX(키움raw!B:B,2*ROW()-2))</f>
        <v/>
      </c>
      <c r="E97" t="str">
        <f>IF(INDEX(키움raw!A:A,2*ROW()-2)="","",INDEX(키움raw!D:D,2*ROW()-2)&amp;" "&amp;SUBSTITUTE(SUBSTITUTE(INDEX(키움raw!F:F,2*ROW()-3),"현금매수","장내매수"),"현금매도","장내매도"))</f>
        <v/>
      </c>
      <c r="F97" t="str">
        <f>IF(INDEX(키움raw!A:A,2*ROW()-2)="","",INDEX(키움raw!E:E,2*ROW()-2))</f>
        <v/>
      </c>
      <c r="G97" t="str">
        <f>IF(INDEX(키움raw!A:A,2*ROW()-2)="","",INDEX(키움raw!F:F,2*ROW()-2))</f>
        <v/>
      </c>
      <c r="X97" t="str">
        <f>IF(INDEX(키움raw!A:A,2*ROW()-2)="","",TEXT(INDEX(키움raw!D:D,2*ROW()-3),"000000"))</f>
        <v/>
      </c>
      <c r="AA97" t="str">
        <f>IF(INDEX(키움raw!A:A,2*ROW()-2)="","",INDEX(키움raw!A:A,2*ROW()-2))</f>
        <v/>
      </c>
    </row>
    <row r="98" spans="1:27" x14ac:dyDescent="0.3">
      <c r="A98" t="str">
        <f>IF(INDEX(키움raw!A:A,2*ROW()-2)="","",$B$1)</f>
        <v/>
      </c>
      <c r="B98" t="str">
        <f>IF(INDEX(키움raw!A:A,2*ROW()-2)="","",INDEX(키움raw!A:A,2*ROW()-2))</f>
        <v/>
      </c>
      <c r="C98" t="str">
        <f>IF(INDEX(키움raw!A:A,2*ROW()-2)="","",INDEX(키움raw!K:K,2*ROW()-2))</f>
        <v/>
      </c>
      <c r="D98" t="str">
        <f>IF(INDEX(키움raw!A:A,2*ROW()-2)="","",INDEX(키움raw!B:B,2*ROW()-2))</f>
        <v/>
      </c>
      <c r="E98" t="str">
        <f>IF(INDEX(키움raw!A:A,2*ROW()-2)="","",INDEX(키움raw!D:D,2*ROW()-2)&amp;" "&amp;SUBSTITUTE(SUBSTITUTE(INDEX(키움raw!F:F,2*ROW()-3),"현금매수","장내매수"),"현금매도","장내매도"))</f>
        <v/>
      </c>
      <c r="F98" t="str">
        <f>IF(INDEX(키움raw!A:A,2*ROW()-2)="","",INDEX(키움raw!E:E,2*ROW()-2))</f>
        <v/>
      </c>
      <c r="G98" t="str">
        <f>IF(INDEX(키움raw!A:A,2*ROW()-2)="","",INDEX(키움raw!F:F,2*ROW()-2))</f>
        <v/>
      </c>
      <c r="X98" t="str">
        <f>IF(INDEX(키움raw!A:A,2*ROW()-2)="","",TEXT(INDEX(키움raw!D:D,2*ROW()-3),"000000"))</f>
        <v/>
      </c>
      <c r="AA98" t="str">
        <f>IF(INDEX(키움raw!A:A,2*ROW()-2)="","",INDEX(키움raw!A:A,2*ROW()-2))</f>
        <v/>
      </c>
    </row>
    <row r="99" spans="1:27" x14ac:dyDescent="0.3">
      <c r="A99" t="str">
        <f>IF(INDEX(키움raw!A:A,2*ROW()-2)="","",$B$1)</f>
        <v/>
      </c>
      <c r="B99" t="str">
        <f>IF(INDEX(키움raw!A:A,2*ROW()-2)="","",INDEX(키움raw!A:A,2*ROW()-2))</f>
        <v/>
      </c>
      <c r="C99" t="str">
        <f>IF(INDEX(키움raw!A:A,2*ROW()-2)="","",INDEX(키움raw!K:K,2*ROW()-2))</f>
        <v/>
      </c>
      <c r="D99" t="str">
        <f>IF(INDEX(키움raw!A:A,2*ROW()-2)="","",INDEX(키움raw!B:B,2*ROW()-2))</f>
        <v/>
      </c>
      <c r="E99" t="str">
        <f>IF(INDEX(키움raw!A:A,2*ROW()-2)="","",INDEX(키움raw!D:D,2*ROW()-2)&amp;" "&amp;SUBSTITUTE(SUBSTITUTE(INDEX(키움raw!F:F,2*ROW()-3),"현금매수","장내매수"),"현금매도","장내매도"))</f>
        <v/>
      </c>
      <c r="F99" t="str">
        <f>IF(INDEX(키움raw!A:A,2*ROW()-2)="","",INDEX(키움raw!E:E,2*ROW()-2))</f>
        <v/>
      </c>
      <c r="G99" t="str">
        <f>IF(INDEX(키움raw!A:A,2*ROW()-2)="","",INDEX(키움raw!F:F,2*ROW()-2))</f>
        <v/>
      </c>
      <c r="X99" t="str">
        <f>IF(INDEX(키움raw!A:A,2*ROW()-2)="","",TEXT(INDEX(키움raw!D:D,2*ROW()-3),"000000"))</f>
        <v/>
      </c>
      <c r="AA99" t="str">
        <f>IF(INDEX(키움raw!A:A,2*ROW()-2)="","",INDEX(키움raw!A:A,2*ROW()-2))</f>
        <v/>
      </c>
    </row>
    <row r="100" spans="1:27" x14ac:dyDescent="0.3">
      <c r="A100" t="str">
        <f>IF(INDEX(키움raw!A:A,2*ROW()-2)="","",$B$1)</f>
        <v/>
      </c>
      <c r="B100" t="str">
        <f>IF(INDEX(키움raw!A:A,2*ROW()-2)="","",INDEX(키움raw!A:A,2*ROW()-2))</f>
        <v/>
      </c>
      <c r="C100" t="str">
        <f>IF(INDEX(키움raw!A:A,2*ROW()-2)="","",INDEX(키움raw!K:K,2*ROW()-2))</f>
        <v/>
      </c>
      <c r="D100" t="str">
        <f>IF(INDEX(키움raw!A:A,2*ROW()-2)="","",INDEX(키움raw!B:B,2*ROW()-2))</f>
        <v/>
      </c>
      <c r="E100" t="str">
        <f>IF(INDEX(키움raw!A:A,2*ROW()-2)="","",INDEX(키움raw!D:D,2*ROW()-2)&amp;" "&amp;SUBSTITUTE(SUBSTITUTE(INDEX(키움raw!F:F,2*ROW()-3),"현금매수","장내매수"),"현금매도","장내매도"))</f>
        <v/>
      </c>
      <c r="F100" t="str">
        <f>IF(INDEX(키움raw!A:A,2*ROW()-2)="","",INDEX(키움raw!E:E,2*ROW()-2))</f>
        <v/>
      </c>
      <c r="G100" t="str">
        <f>IF(INDEX(키움raw!A:A,2*ROW()-2)="","",INDEX(키움raw!F:F,2*ROW()-2))</f>
        <v/>
      </c>
      <c r="X100" t="str">
        <f>IF(INDEX(키움raw!A:A,2*ROW()-2)="","",TEXT(INDEX(키움raw!D:D,2*ROW()-3),"000000"))</f>
        <v/>
      </c>
      <c r="AA100" t="str">
        <f>IF(INDEX(키움raw!A:A,2*ROW()-2)="","",INDEX(키움raw!A:A,2*ROW()-2))</f>
        <v/>
      </c>
    </row>
    <row r="101" spans="1:27" x14ac:dyDescent="0.3">
      <c r="A101" t="str">
        <f>IF(INDEX(키움raw!A:A,2*ROW()-2)="","",$B$1)</f>
        <v/>
      </c>
      <c r="B101" t="str">
        <f>IF(INDEX(키움raw!A:A,2*ROW()-2)="","",INDEX(키움raw!A:A,2*ROW()-2))</f>
        <v/>
      </c>
      <c r="C101" t="str">
        <f>IF(INDEX(키움raw!A:A,2*ROW()-2)="","",INDEX(키움raw!K:K,2*ROW()-2))</f>
        <v/>
      </c>
      <c r="D101" t="str">
        <f>IF(INDEX(키움raw!A:A,2*ROW()-2)="","",INDEX(키움raw!B:B,2*ROW()-2))</f>
        <v/>
      </c>
      <c r="E101" t="str">
        <f>IF(INDEX(키움raw!A:A,2*ROW()-2)="","",INDEX(키움raw!D:D,2*ROW()-2)&amp;" "&amp;SUBSTITUTE(SUBSTITUTE(INDEX(키움raw!F:F,2*ROW()-3),"현금매수","장내매수"),"현금매도","장내매도"))</f>
        <v/>
      </c>
      <c r="F101" t="str">
        <f>IF(INDEX(키움raw!A:A,2*ROW()-2)="","",INDEX(키움raw!E:E,2*ROW()-2))</f>
        <v/>
      </c>
      <c r="G101" t="str">
        <f>IF(INDEX(키움raw!A:A,2*ROW()-2)="","",INDEX(키움raw!F:F,2*ROW()-2))</f>
        <v/>
      </c>
      <c r="X101" t="str">
        <f>IF(INDEX(키움raw!A:A,2*ROW()-2)="","",TEXT(INDEX(키움raw!D:D,2*ROW()-3),"000000"))</f>
        <v/>
      </c>
      <c r="AA101" t="str">
        <f>IF(INDEX(키움raw!A:A,2*ROW()-2)="","",INDEX(키움raw!A:A,2*ROW()-2))</f>
        <v/>
      </c>
    </row>
    <row r="102" spans="1:27" x14ac:dyDescent="0.3">
      <c r="A102" t="str">
        <f>IF(INDEX(키움raw!A:A,2*ROW()-2)="","",$B$1)</f>
        <v/>
      </c>
      <c r="B102" t="str">
        <f>IF(INDEX(키움raw!A:A,2*ROW()-2)="","",INDEX(키움raw!A:A,2*ROW()-2))</f>
        <v/>
      </c>
      <c r="C102" t="str">
        <f>IF(INDEX(키움raw!A:A,2*ROW()-2)="","",INDEX(키움raw!K:K,2*ROW()-2))</f>
        <v/>
      </c>
      <c r="D102" t="str">
        <f>IF(INDEX(키움raw!A:A,2*ROW()-2)="","",INDEX(키움raw!B:B,2*ROW()-2))</f>
        <v/>
      </c>
      <c r="E102" t="str">
        <f>IF(INDEX(키움raw!A:A,2*ROW()-2)="","",INDEX(키움raw!D:D,2*ROW()-2)&amp;" "&amp;SUBSTITUTE(SUBSTITUTE(INDEX(키움raw!F:F,2*ROW()-3),"현금매수","장내매수"),"현금매도","장내매도"))</f>
        <v/>
      </c>
      <c r="F102" t="str">
        <f>IF(INDEX(키움raw!A:A,2*ROW()-2)="","",INDEX(키움raw!E:E,2*ROW()-2))</f>
        <v/>
      </c>
      <c r="G102" t="str">
        <f>IF(INDEX(키움raw!A:A,2*ROW()-2)="","",INDEX(키움raw!F:F,2*ROW()-2))</f>
        <v/>
      </c>
      <c r="X102" t="str">
        <f>IF(INDEX(키움raw!A:A,2*ROW()-2)="","",TEXT(INDEX(키움raw!D:D,2*ROW()-3),"000000"))</f>
        <v/>
      </c>
      <c r="AA102" t="str">
        <f>IF(INDEX(키움raw!A:A,2*ROW()-2)="","",INDEX(키움raw!A:A,2*ROW()-2))</f>
        <v/>
      </c>
    </row>
    <row r="103" spans="1:27" x14ac:dyDescent="0.3">
      <c r="A103" t="str">
        <f>IF(INDEX(키움raw!A:A,2*ROW()-2)="","",$B$1)</f>
        <v/>
      </c>
      <c r="B103" t="str">
        <f>IF(INDEX(키움raw!A:A,2*ROW()-2)="","",INDEX(키움raw!A:A,2*ROW()-2))</f>
        <v/>
      </c>
      <c r="C103" t="str">
        <f>IF(INDEX(키움raw!A:A,2*ROW()-2)="","",INDEX(키움raw!K:K,2*ROW()-2))</f>
        <v/>
      </c>
      <c r="D103" t="str">
        <f>IF(INDEX(키움raw!A:A,2*ROW()-2)="","",INDEX(키움raw!B:B,2*ROW()-2))</f>
        <v/>
      </c>
      <c r="E103" t="str">
        <f>IF(INDEX(키움raw!A:A,2*ROW()-2)="","",INDEX(키움raw!D:D,2*ROW()-2)&amp;" "&amp;SUBSTITUTE(SUBSTITUTE(INDEX(키움raw!F:F,2*ROW()-3),"현금매수","장내매수"),"현금매도","장내매도"))</f>
        <v/>
      </c>
      <c r="F103" t="str">
        <f>IF(INDEX(키움raw!A:A,2*ROW()-2)="","",INDEX(키움raw!E:E,2*ROW()-2))</f>
        <v/>
      </c>
      <c r="G103" t="str">
        <f>IF(INDEX(키움raw!A:A,2*ROW()-2)="","",INDEX(키움raw!F:F,2*ROW()-2))</f>
        <v/>
      </c>
      <c r="X103" t="str">
        <f>IF(INDEX(키움raw!A:A,2*ROW()-2)="","",TEXT(INDEX(키움raw!D:D,2*ROW()-3),"000000"))</f>
        <v/>
      </c>
      <c r="AA103" t="str">
        <f>IF(INDEX(키움raw!A:A,2*ROW()-2)="","",INDEX(키움raw!A:A,2*ROW()-2))</f>
        <v/>
      </c>
    </row>
    <row r="104" spans="1:27" x14ac:dyDescent="0.3">
      <c r="A104" t="str">
        <f>IF(INDEX(키움raw!A:A,2*ROW()-2)="","",$B$1)</f>
        <v/>
      </c>
      <c r="B104" t="str">
        <f>IF(INDEX(키움raw!A:A,2*ROW()-2)="","",INDEX(키움raw!A:A,2*ROW()-2))</f>
        <v/>
      </c>
      <c r="C104" t="str">
        <f>IF(INDEX(키움raw!A:A,2*ROW()-2)="","",INDEX(키움raw!K:K,2*ROW()-2))</f>
        <v/>
      </c>
      <c r="D104" t="str">
        <f>IF(INDEX(키움raw!A:A,2*ROW()-2)="","",INDEX(키움raw!B:B,2*ROW()-2))</f>
        <v/>
      </c>
      <c r="E104" t="str">
        <f>IF(INDEX(키움raw!A:A,2*ROW()-2)="","",INDEX(키움raw!D:D,2*ROW()-2)&amp;" "&amp;SUBSTITUTE(SUBSTITUTE(INDEX(키움raw!F:F,2*ROW()-3),"현금매수","장내매수"),"현금매도","장내매도"))</f>
        <v/>
      </c>
      <c r="F104" t="str">
        <f>IF(INDEX(키움raw!A:A,2*ROW()-2)="","",INDEX(키움raw!E:E,2*ROW()-2))</f>
        <v/>
      </c>
      <c r="G104" t="str">
        <f>IF(INDEX(키움raw!A:A,2*ROW()-2)="","",INDEX(키움raw!F:F,2*ROW()-2))</f>
        <v/>
      </c>
      <c r="X104" t="str">
        <f>IF(INDEX(키움raw!A:A,2*ROW()-2)="","",TEXT(INDEX(키움raw!D:D,2*ROW()-3),"000000"))</f>
        <v/>
      </c>
      <c r="AA104" t="str">
        <f>IF(INDEX(키움raw!A:A,2*ROW()-2)="","",INDEX(키움raw!A:A,2*ROW()-2))</f>
        <v/>
      </c>
    </row>
    <row r="105" spans="1:27" x14ac:dyDescent="0.3">
      <c r="A105" t="str">
        <f>IF(INDEX(키움raw!A:A,2*ROW()-2)="","",$B$1)</f>
        <v/>
      </c>
      <c r="B105" t="str">
        <f>IF(INDEX(키움raw!A:A,2*ROW()-2)="","",INDEX(키움raw!A:A,2*ROW()-2))</f>
        <v/>
      </c>
      <c r="C105" t="str">
        <f>IF(INDEX(키움raw!A:A,2*ROW()-2)="","",INDEX(키움raw!K:K,2*ROW()-2))</f>
        <v/>
      </c>
      <c r="D105" t="str">
        <f>IF(INDEX(키움raw!A:A,2*ROW()-2)="","",INDEX(키움raw!B:B,2*ROW()-2))</f>
        <v/>
      </c>
      <c r="E105" t="str">
        <f>IF(INDEX(키움raw!A:A,2*ROW()-2)="","",INDEX(키움raw!D:D,2*ROW()-2)&amp;" "&amp;SUBSTITUTE(SUBSTITUTE(INDEX(키움raw!F:F,2*ROW()-3),"현금매수","장내매수"),"현금매도","장내매도"))</f>
        <v/>
      </c>
      <c r="F105" t="str">
        <f>IF(INDEX(키움raw!A:A,2*ROW()-2)="","",INDEX(키움raw!E:E,2*ROW()-2))</f>
        <v/>
      </c>
      <c r="G105" t="str">
        <f>IF(INDEX(키움raw!A:A,2*ROW()-2)="","",INDEX(키움raw!F:F,2*ROW()-2))</f>
        <v/>
      </c>
      <c r="X105" t="str">
        <f>IF(INDEX(키움raw!A:A,2*ROW()-2)="","",TEXT(INDEX(키움raw!D:D,2*ROW()-3),"000000"))</f>
        <v/>
      </c>
      <c r="AA105" t="str">
        <f>IF(INDEX(키움raw!A:A,2*ROW()-2)="","",INDEX(키움raw!A:A,2*ROW()-2))</f>
        <v/>
      </c>
    </row>
    <row r="106" spans="1:27" x14ac:dyDescent="0.3">
      <c r="A106" t="str">
        <f>IF(INDEX(키움raw!A:A,2*ROW()-2)="","",$B$1)</f>
        <v/>
      </c>
      <c r="B106" t="str">
        <f>IF(INDEX(키움raw!A:A,2*ROW()-2)="","",INDEX(키움raw!A:A,2*ROW()-2))</f>
        <v/>
      </c>
      <c r="C106" t="str">
        <f>IF(INDEX(키움raw!A:A,2*ROW()-2)="","",INDEX(키움raw!K:K,2*ROW()-2))</f>
        <v/>
      </c>
      <c r="D106" t="str">
        <f>IF(INDEX(키움raw!A:A,2*ROW()-2)="","",INDEX(키움raw!B:B,2*ROW()-2))</f>
        <v/>
      </c>
      <c r="E106" t="str">
        <f>IF(INDEX(키움raw!A:A,2*ROW()-2)="","",INDEX(키움raw!D:D,2*ROW()-2)&amp;" "&amp;SUBSTITUTE(SUBSTITUTE(INDEX(키움raw!F:F,2*ROW()-3),"현금매수","장내매수"),"현금매도","장내매도"))</f>
        <v/>
      </c>
      <c r="F106" t="str">
        <f>IF(INDEX(키움raw!A:A,2*ROW()-2)="","",INDEX(키움raw!E:E,2*ROW()-2))</f>
        <v/>
      </c>
      <c r="G106" t="str">
        <f>IF(INDEX(키움raw!A:A,2*ROW()-2)="","",INDEX(키움raw!F:F,2*ROW()-2))</f>
        <v/>
      </c>
      <c r="X106" t="str">
        <f>IF(INDEX(키움raw!A:A,2*ROW()-2)="","",TEXT(INDEX(키움raw!D:D,2*ROW()-3),"000000"))</f>
        <v/>
      </c>
      <c r="AA106" t="str">
        <f>IF(INDEX(키움raw!A:A,2*ROW()-2)="","",INDEX(키움raw!A:A,2*ROW()-2))</f>
        <v/>
      </c>
    </row>
    <row r="107" spans="1:27" x14ac:dyDescent="0.3">
      <c r="A107" t="str">
        <f>IF(INDEX(키움raw!A:A,2*ROW()-2)="","",$B$1)</f>
        <v/>
      </c>
      <c r="B107" t="str">
        <f>IF(INDEX(키움raw!A:A,2*ROW()-2)="","",INDEX(키움raw!A:A,2*ROW()-2))</f>
        <v/>
      </c>
      <c r="C107" t="str">
        <f>IF(INDEX(키움raw!A:A,2*ROW()-2)="","",INDEX(키움raw!K:K,2*ROW()-2))</f>
        <v/>
      </c>
      <c r="D107" t="str">
        <f>IF(INDEX(키움raw!A:A,2*ROW()-2)="","",INDEX(키움raw!B:B,2*ROW()-2))</f>
        <v/>
      </c>
      <c r="E107" t="str">
        <f>IF(INDEX(키움raw!A:A,2*ROW()-2)="","",INDEX(키움raw!D:D,2*ROW()-2)&amp;" "&amp;SUBSTITUTE(SUBSTITUTE(INDEX(키움raw!F:F,2*ROW()-3),"현금매수","장내매수"),"현금매도","장내매도"))</f>
        <v/>
      </c>
      <c r="F107" t="str">
        <f>IF(INDEX(키움raw!A:A,2*ROW()-2)="","",INDEX(키움raw!E:E,2*ROW()-2))</f>
        <v/>
      </c>
      <c r="G107" t="str">
        <f>IF(INDEX(키움raw!A:A,2*ROW()-2)="","",INDEX(키움raw!F:F,2*ROW()-2))</f>
        <v/>
      </c>
      <c r="X107" t="str">
        <f>IF(INDEX(키움raw!A:A,2*ROW()-2)="","",TEXT(INDEX(키움raw!D:D,2*ROW()-3),"000000"))</f>
        <v/>
      </c>
      <c r="AA107" t="str">
        <f>IF(INDEX(키움raw!A:A,2*ROW()-2)="","",INDEX(키움raw!A:A,2*ROW()-2))</f>
        <v/>
      </c>
    </row>
    <row r="108" spans="1:27" x14ac:dyDescent="0.3">
      <c r="A108" t="str">
        <f>IF(INDEX(키움raw!A:A,2*ROW()-2)="","",$B$1)</f>
        <v/>
      </c>
      <c r="B108" t="str">
        <f>IF(INDEX(키움raw!A:A,2*ROW()-2)="","",INDEX(키움raw!A:A,2*ROW()-2))</f>
        <v/>
      </c>
      <c r="C108" t="str">
        <f>IF(INDEX(키움raw!A:A,2*ROW()-2)="","",INDEX(키움raw!K:K,2*ROW()-2))</f>
        <v/>
      </c>
      <c r="D108" t="str">
        <f>IF(INDEX(키움raw!A:A,2*ROW()-2)="","",INDEX(키움raw!B:B,2*ROW()-2))</f>
        <v/>
      </c>
      <c r="E108" t="str">
        <f>IF(INDEX(키움raw!A:A,2*ROW()-2)="","",INDEX(키움raw!D:D,2*ROW()-2)&amp;" "&amp;SUBSTITUTE(SUBSTITUTE(INDEX(키움raw!F:F,2*ROW()-3),"현금매수","장내매수"),"현금매도","장내매도"))</f>
        <v/>
      </c>
      <c r="F108" t="str">
        <f>IF(INDEX(키움raw!A:A,2*ROW()-2)="","",INDEX(키움raw!E:E,2*ROW()-2))</f>
        <v/>
      </c>
      <c r="G108" t="str">
        <f>IF(INDEX(키움raw!A:A,2*ROW()-2)="","",INDEX(키움raw!F:F,2*ROW()-2))</f>
        <v/>
      </c>
      <c r="X108" t="str">
        <f>IF(INDEX(키움raw!A:A,2*ROW()-2)="","",TEXT(INDEX(키움raw!D:D,2*ROW()-3),"000000"))</f>
        <v/>
      </c>
      <c r="AA108" t="str">
        <f>IF(INDEX(키움raw!A:A,2*ROW()-2)="","",INDEX(키움raw!A:A,2*ROW()-2))</f>
        <v/>
      </c>
    </row>
    <row r="109" spans="1:27" x14ac:dyDescent="0.3">
      <c r="A109" t="str">
        <f>IF(INDEX(키움raw!A:A,2*ROW()-2)="","",$B$1)</f>
        <v/>
      </c>
      <c r="B109" t="str">
        <f>IF(INDEX(키움raw!A:A,2*ROW()-2)="","",INDEX(키움raw!A:A,2*ROW()-2))</f>
        <v/>
      </c>
      <c r="C109" t="str">
        <f>IF(INDEX(키움raw!A:A,2*ROW()-2)="","",INDEX(키움raw!K:K,2*ROW()-2))</f>
        <v/>
      </c>
      <c r="D109" t="str">
        <f>IF(INDEX(키움raw!A:A,2*ROW()-2)="","",INDEX(키움raw!B:B,2*ROW()-2))</f>
        <v/>
      </c>
      <c r="E109" t="str">
        <f>IF(INDEX(키움raw!A:A,2*ROW()-2)="","",INDEX(키움raw!D:D,2*ROW()-2)&amp;" "&amp;SUBSTITUTE(SUBSTITUTE(INDEX(키움raw!F:F,2*ROW()-3),"현금매수","장내매수"),"현금매도","장내매도"))</f>
        <v/>
      </c>
      <c r="F109" t="str">
        <f>IF(INDEX(키움raw!A:A,2*ROW()-2)="","",INDEX(키움raw!E:E,2*ROW()-2))</f>
        <v/>
      </c>
      <c r="G109" t="str">
        <f>IF(INDEX(키움raw!A:A,2*ROW()-2)="","",INDEX(키움raw!F:F,2*ROW()-2))</f>
        <v/>
      </c>
      <c r="X109" t="str">
        <f>IF(INDEX(키움raw!A:A,2*ROW()-2)="","",TEXT(INDEX(키움raw!D:D,2*ROW()-3),"000000"))</f>
        <v/>
      </c>
      <c r="AA109" t="str">
        <f>IF(INDEX(키움raw!A:A,2*ROW()-2)="","",INDEX(키움raw!A:A,2*ROW()-2))</f>
        <v/>
      </c>
    </row>
    <row r="110" spans="1:27" x14ac:dyDescent="0.3">
      <c r="A110" t="str">
        <f>IF(INDEX(키움raw!A:A,2*ROW()-2)="","",$B$1)</f>
        <v/>
      </c>
      <c r="B110" t="str">
        <f>IF(INDEX(키움raw!A:A,2*ROW()-2)="","",INDEX(키움raw!A:A,2*ROW()-2))</f>
        <v/>
      </c>
      <c r="C110" t="str">
        <f>IF(INDEX(키움raw!A:A,2*ROW()-2)="","",INDEX(키움raw!K:K,2*ROW()-2))</f>
        <v/>
      </c>
      <c r="D110" t="str">
        <f>IF(INDEX(키움raw!A:A,2*ROW()-2)="","",INDEX(키움raw!B:B,2*ROW()-2))</f>
        <v/>
      </c>
      <c r="E110" t="str">
        <f>IF(INDEX(키움raw!A:A,2*ROW()-2)="","",INDEX(키움raw!D:D,2*ROW()-2)&amp;" "&amp;SUBSTITUTE(SUBSTITUTE(INDEX(키움raw!F:F,2*ROW()-3),"현금매수","장내매수"),"현금매도","장내매도"))</f>
        <v/>
      </c>
      <c r="F110" t="str">
        <f>IF(INDEX(키움raw!A:A,2*ROW()-2)="","",INDEX(키움raw!E:E,2*ROW()-2))</f>
        <v/>
      </c>
      <c r="G110" t="str">
        <f>IF(INDEX(키움raw!A:A,2*ROW()-2)="","",INDEX(키움raw!F:F,2*ROW()-2))</f>
        <v/>
      </c>
      <c r="X110" t="str">
        <f>IF(INDEX(키움raw!A:A,2*ROW()-2)="","",TEXT(INDEX(키움raw!D:D,2*ROW()-3),"000000"))</f>
        <v/>
      </c>
      <c r="AA110" t="str">
        <f>IF(INDEX(키움raw!A:A,2*ROW()-2)="","",INDEX(키움raw!A:A,2*ROW()-2))</f>
        <v/>
      </c>
    </row>
    <row r="111" spans="1:27" x14ac:dyDescent="0.3">
      <c r="A111" t="str">
        <f>IF(INDEX(키움raw!A:A,2*ROW()-2)="","",$B$1)</f>
        <v/>
      </c>
      <c r="B111" t="str">
        <f>IF(INDEX(키움raw!A:A,2*ROW()-2)="","",INDEX(키움raw!A:A,2*ROW()-2))</f>
        <v/>
      </c>
      <c r="C111" t="str">
        <f>IF(INDEX(키움raw!A:A,2*ROW()-2)="","",INDEX(키움raw!K:K,2*ROW()-2))</f>
        <v/>
      </c>
      <c r="D111" t="str">
        <f>IF(INDEX(키움raw!A:A,2*ROW()-2)="","",INDEX(키움raw!B:B,2*ROW()-2))</f>
        <v/>
      </c>
      <c r="E111" t="str">
        <f>IF(INDEX(키움raw!A:A,2*ROW()-2)="","",INDEX(키움raw!D:D,2*ROW()-2)&amp;" "&amp;SUBSTITUTE(SUBSTITUTE(INDEX(키움raw!F:F,2*ROW()-3),"현금매수","장내매수"),"현금매도","장내매도"))</f>
        <v/>
      </c>
      <c r="F111" t="str">
        <f>IF(INDEX(키움raw!A:A,2*ROW()-2)="","",INDEX(키움raw!E:E,2*ROW()-2))</f>
        <v/>
      </c>
      <c r="G111" t="str">
        <f>IF(INDEX(키움raw!A:A,2*ROW()-2)="","",INDEX(키움raw!F:F,2*ROW()-2))</f>
        <v/>
      </c>
      <c r="X111" t="str">
        <f>IF(INDEX(키움raw!A:A,2*ROW()-2)="","",TEXT(INDEX(키움raw!D:D,2*ROW()-3),"000000"))</f>
        <v/>
      </c>
      <c r="AA111" t="str">
        <f>IF(INDEX(키움raw!A:A,2*ROW()-2)="","",INDEX(키움raw!A:A,2*ROW()-2))</f>
        <v/>
      </c>
    </row>
    <row r="112" spans="1:27" x14ac:dyDescent="0.3">
      <c r="A112" t="str">
        <f>IF(INDEX(키움raw!A:A,2*ROW()-2)="","",$B$1)</f>
        <v/>
      </c>
      <c r="B112" t="str">
        <f>IF(INDEX(키움raw!A:A,2*ROW()-2)="","",INDEX(키움raw!A:A,2*ROW()-2))</f>
        <v/>
      </c>
      <c r="C112" t="str">
        <f>IF(INDEX(키움raw!A:A,2*ROW()-2)="","",INDEX(키움raw!K:K,2*ROW()-2))</f>
        <v/>
      </c>
      <c r="D112" t="str">
        <f>IF(INDEX(키움raw!A:A,2*ROW()-2)="","",INDEX(키움raw!B:B,2*ROW()-2))</f>
        <v/>
      </c>
      <c r="E112" t="str">
        <f>IF(INDEX(키움raw!A:A,2*ROW()-2)="","",INDEX(키움raw!D:D,2*ROW()-2)&amp;" "&amp;SUBSTITUTE(SUBSTITUTE(INDEX(키움raw!F:F,2*ROW()-3),"현금매수","장내매수"),"현금매도","장내매도"))</f>
        <v/>
      </c>
      <c r="F112" t="str">
        <f>IF(INDEX(키움raw!A:A,2*ROW()-2)="","",INDEX(키움raw!E:E,2*ROW()-2))</f>
        <v/>
      </c>
      <c r="G112" t="str">
        <f>IF(INDEX(키움raw!A:A,2*ROW()-2)="","",INDEX(키움raw!F:F,2*ROW()-2))</f>
        <v/>
      </c>
      <c r="X112" t="str">
        <f>IF(INDEX(키움raw!A:A,2*ROW()-2)="","",TEXT(INDEX(키움raw!D:D,2*ROW()-3),"000000"))</f>
        <v/>
      </c>
      <c r="AA112" t="str">
        <f>IF(INDEX(키움raw!A:A,2*ROW()-2)="","",INDEX(키움raw!A:A,2*ROW()-2))</f>
        <v/>
      </c>
    </row>
    <row r="113" spans="1:27" x14ac:dyDescent="0.3">
      <c r="A113" t="str">
        <f>IF(INDEX(키움raw!A:A,2*ROW()-2)="","",$B$1)</f>
        <v/>
      </c>
      <c r="B113" t="str">
        <f>IF(INDEX(키움raw!A:A,2*ROW()-2)="","",INDEX(키움raw!A:A,2*ROW()-2))</f>
        <v/>
      </c>
      <c r="C113" t="str">
        <f>IF(INDEX(키움raw!A:A,2*ROW()-2)="","",INDEX(키움raw!K:K,2*ROW()-2))</f>
        <v/>
      </c>
      <c r="D113" t="str">
        <f>IF(INDEX(키움raw!A:A,2*ROW()-2)="","",INDEX(키움raw!B:B,2*ROW()-2))</f>
        <v/>
      </c>
      <c r="E113" t="str">
        <f>IF(INDEX(키움raw!A:A,2*ROW()-2)="","",INDEX(키움raw!D:D,2*ROW()-2)&amp;" "&amp;SUBSTITUTE(SUBSTITUTE(INDEX(키움raw!F:F,2*ROW()-3),"현금매수","장내매수"),"현금매도","장내매도"))</f>
        <v/>
      </c>
      <c r="F113" t="str">
        <f>IF(INDEX(키움raw!A:A,2*ROW()-2)="","",INDEX(키움raw!E:E,2*ROW()-2))</f>
        <v/>
      </c>
      <c r="G113" t="str">
        <f>IF(INDEX(키움raw!A:A,2*ROW()-2)="","",INDEX(키움raw!F:F,2*ROW()-2))</f>
        <v/>
      </c>
      <c r="X113" t="str">
        <f>IF(INDEX(키움raw!A:A,2*ROW()-2)="","",TEXT(INDEX(키움raw!D:D,2*ROW()-3),"000000"))</f>
        <v/>
      </c>
      <c r="AA113" t="str">
        <f>IF(INDEX(키움raw!A:A,2*ROW()-2)="","",INDEX(키움raw!A:A,2*ROW()-2))</f>
        <v/>
      </c>
    </row>
    <row r="114" spans="1:27" x14ac:dyDescent="0.3">
      <c r="A114" t="str">
        <f>IF(INDEX(키움raw!A:A,2*ROW()-2)="","",$B$1)</f>
        <v/>
      </c>
      <c r="B114" t="str">
        <f>IF(INDEX(키움raw!A:A,2*ROW()-2)="","",INDEX(키움raw!A:A,2*ROW()-2))</f>
        <v/>
      </c>
      <c r="C114" t="str">
        <f>IF(INDEX(키움raw!A:A,2*ROW()-2)="","",INDEX(키움raw!K:K,2*ROW()-2))</f>
        <v/>
      </c>
      <c r="D114" t="str">
        <f>IF(INDEX(키움raw!A:A,2*ROW()-2)="","",INDEX(키움raw!B:B,2*ROW()-2))</f>
        <v/>
      </c>
      <c r="E114" t="str">
        <f>IF(INDEX(키움raw!A:A,2*ROW()-2)="","",INDEX(키움raw!D:D,2*ROW()-2)&amp;" "&amp;SUBSTITUTE(SUBSTITUTE(INDEX(키움raw!F:F,2*ROW()-3),"현금매수","장내매수"),"현금매도","장내매도"))</f>
        <v/>
      </c>
      <c r="F114" t="str">
        <f>IF(INDEX(키움raw!A:A,2*ROW()-2)="","",INDEX(키움raw!E:E,2*ROW()-2))</f>
        <v/>
      </c>
      <c r="G114" t="str">
        <f>IF(INDEX(키움raw!A:A,2*ROW()-2)="","",INDEX(키움raw!F:F,2*ROW()-2))</f>
        <v/>
      </c>
      <c r="X114" t="str">
        <f>IF(INDEX(키움raw!A:A,2*ROW()-2)="","",TEXT(INDEX(키움raw!D:D,2*ROW()-3),"000000"))</f>
        <v/>
      </c>
      <c r="AA114" t="str">
        <f>IF(INDEX(키움raw!A:A,2*ROW()-2)="","",INDEX(키움raw!A:A,2*ROW()-2))</f>
        <v/>
      </c>
    </row>
    <row r="115" spans="1:27" x14ac:dyDescent="0.3">
      <c r="A115" t="str">
        <f>IF(INDEX(키움raw!A:A,2*ROW()-2)="","",$B$1)</f>
        <v/>
      </c>
      <c r="B115" t="str">
        <f>IF(INDEX(키움raw!A:A,2*ROW()-2)="","",INDEX(키움raw!A:A,2*ROW()-2))</f>
        <v/>
      </c>
      <c r="C115" t="str">
        <f>IF(INDEX(키움raw!A:A,2*ROW()-2)="","",INDEX(키움raw!K:K,2*ROW()-2))</f>
        <v/>
      </c>
      <c r="D115" t="str">
        <f>IF(INDEX(키움raw!A:A,2*ROW()-2)="","",INDEX(키움raw!B:B,2*ROW()-2))</f>
        <v/>
      </c>
      <c r="E115" t="str">
        <f>IF(INDEX(키움raw!A:A,2*ROW()-2)="","",INDEX(키움raw!D:D,2*ROW()-2)&amp;" "&amp;SUBSTITUTE(SUBSTITUTE(INDEX(키움raw!F:F,2*ROW()-3),"현금매수","장내매수"),"현금매도","장내매도"))</f>
        <v/>
      </c>
      <c r="F115" t="str">
        <f>IF(INDEX(키움raw!A:A,2*ROW()-2)="","",INDEX(키움raw!E:E,2*ROW()-2))</f>
        <v/>
      </c>
      <c r="G115" t="str">
        <f>IF(INDEX(키움raw!A:A,2*ROW()-2)="","",INDEX(키움raw!F:F,2*ROW()-2))</f>
        <v/>
      </c>
      <c r="X115" t="str">
        <f>IF(INDEX(키움raw!A:A,2*ROW()-2)="","",TEXT(INDEX(키움raw!D:D,2*ROW()-3),"000000"))</f>
        <v/>
      </c>
      <c r="AA115" t="str">
        <f>IF(INDEX(키움raw!A:A,2*ROW()-2)="","",INDEX(키움raw!A:A,2*ROW()-2))</f>
        <v/>
      </c>
    </row>
    <row r="116" spans="1:27" x14ac:dyDescent="0.3">
      <c r="A116" t="str">
        <f>IF(INDEX(키움raw!A:A,2*ROW()-2)="","",$B$1)</f>
        <v/>
      </c>
      <c r="B116" t="str">
        <f>IF(INDEX(키움raw!A:A,2*ROW()-2)="","",INDEX(키움raw!A:A,2*ROW()-2))</f>
        <v/>
      </c>
      <c r="C116" t="str">
        <f>IF(INDEX(키움raw!A:A,2*ROW()-2)="","",INDEX(키움raw!K:K,2*ROW()-2))</f>
        <v/>
      </c>
      <c r="D116" t="str">
        <f>IF(INDEX(키움raw!A:A,2*ROW()-2)="","",INDEX(키움raw!B:B,2*ROW()-2))</f>
        <v/>
      </c>
      <c r="E116" t="str">
        <f>IF(INDEX(키움raw!A:A,2*ROW()-2)="","",INDEX(키움raw!D:D,2*ROW()-2)&amp;" "&amp;SUBSTITUTE(SUBSTITUTE(INDEX(키움raw!F:F,2*ROW()-3),"현금매수","장내매수"),"현금매도","장내매도"))</f>
        <v/>
      </c>
      <c r="F116" t="str">
        <f>IF(INDEX(키움raw!A:A,2*ROW()-2)="","",INDEX(키움raw!E:E,2*ROW()-2))</f>
        <v/>
      </c>
      <c r="G116" t="str">
        <f>IF(INDEX(키움raw!A:A,2*ROW()-2)="","",INDEX(키움raw!F:F,2*ROW()-2))</f>
        <v/>
      </c>
      <c r="X116" t="str">
        <f>IF(INDEX(키움raw!A:A,2*ROW()-2)="","",TEXT(INDEX(키움raw!D:D,2*ROW()-3),"000000"))</f>
        <v/>
      </c>
      <c r="AA116" t="str">
        <f>IF(INDEX(키움raw!A:A,2*ROW()-2)="","",INDEX(키움raw!A:A,2*ROW()-2))</f>
        <v/>
      </c>
    </row>
    <row r="117" spans="1:27" x14ac:dyDescent="0.3">
      <c r="A117" t="str">
        <f>IF(INDEX(키움raw!A:A,2*ROW()-2)="","",$B$1)</f>
        <v/>
      </c>
      <c r="B117" t="str">
        <f>IF(INDEX(키움raw!A:A,2*ROW()-2)="","",INDEX(키움raw!A:A,2*ROW()-2))</f>
        <v/>
      </c>
      <c r="C117" t="str">
        <f>IF(INDEX(키움raw!A:A,2*ROW()-2)="","",INDEX(키움raw!K:K,2*ROW()-2))</f>
        <v/>
      </c>
      <c r="D117" t="str">
        <f>IF(INDEX(키움raw!A:A,2*ROW()-2)="","",INDEX(키움raw!B:B,2*ROW()-2))</f>
        <v/>
      </c>
      <c r="E117" t="str">
        <f>IF(INDEX(키움raw!A:A,2*ROW()-2)="","",INDEX(키움raw!D:D,2*ROW()-2)&amp;" "&amp;SUBSTITUTE(SUBSTITUTE(INDEX(키움raw!F:F,2*ROW()-3),"현금매수","장내매수"),"현금매도","장내매도"))</f>
        <v/>
      </c>
      <c r="F117" t="str">
        <f>IF(INDEX(키움raw!A:A,2*ROW()-2)="","",INDEX(키움raw!E:E,2*ROW()-2))</f>
        <v/>
      </c>
      <c r="G117" t="str">
        <f>IF(INDEX(키움raw!A:A,2*ROW()-2)="","",INDEX(키움raw!F:F,2*ROW()-2))</f>
        <v/>
      </c>
      <c r="X117" t="str">
        <f>IF(INDEX(키움raw!A:A,2*ROW()-2)="","",TEXT(INDEX(키움raw!D:D,2*ROW()-3),"000000"))</f>
        <v/>
      </c>
      <c r="AA117" t="str">
        <f>IF(INDEX(키움raw!A:A,2*ROW()-2)="","",INDEX(키움raw!A:A,2*ROW()-2))</f>
        <v/>
      </c>
    </row>
    <row r="118" spans="1:27" x14ac:dyDescent="0.3">
      <c r="A118" t="str">
        <f>IF(INDEX(키움raw!A:A,2*ROW()-2)="","",$B$1)</f>
        <v/>
      </c>
      <c r="B118" t="str">
        <f>IF(INDEX(키움raw!A:A,2*ROW()-2)="","",INDEX(키움raw!A:A,2*ROW()-2))</f>
        <v/>
      </c>
      <c r="C118" t="str">
        <f>IF(INDEX(키움raw!A:A,2*ROW()-2)="","",INDEX(키움raw!K:K,2*ROW()-2))</f>
        <v/>
      </c>
      <c r="D118" t="str">
        <f>IF(INDEX(키움raw!A:A,2*ROW()-2)="","",INDEX(키움raw!B:B,2*ROW()-2))</f>
        <v/>
      </c>
      <c r="E118" t="str">
        <f>IF(INDEX(키움raw!A:A,2*ROW()-2)="","",INDEX(키움raw!D:D,2*ROW()-2)&amp;" "&amp;SUBSTITUTE(SUBSTITUTE(INDEX(키움raw!F:F,2*ROW()-3),"현금매수","장내매수"),"현금매도","장내매도"))</f>
        <v/>
      </c>
      <c r="F118" t="str">
        <f>IF(INDEX(키움raw!A:A,2*ROW()-2)="","",INDEX(키움raw!E:E,2*ROW()-2))</f>
        <v/>
      </c>
      <c r="G118" t="str">
        <f>IF(INDEX(키움raw!A:A,2*ROW()-2)="","",INDEX(키움raw!F:F,2*ROW()-2))</f>
        <v/>
      </c>
      <c r="X118" t="str">
        <f>IF(INDEX(키움raw!A:A,2*ROW()-2)="","",TEXT(INDEX(키움raw!D:D,2*ROW()-3),"000000"))</f>
        <v/>
      </c>
      <c r="AA118" t="str">
        <f>IF(INDEX(키움raw!A:A,2*ROW()-2)="","",INDEX(키움raw!A:A,2*ROW()-2))</f>
        <v/>
      </c>
    </row>
    <row r="119" spans="1:27" x14ac:dyDescent="0.3">
      <c r="A119" t="str">
        <f>IF(INDEX(키움raw!A:A,2*ROW()-2)="","",$B$1)</f>
        <v/>
      </c>
      <c r="B119" t="str">
        <f>IF(INDEX(키움raw!A:A,2*ROW()-2)="","",INDEX(키움raw!A:A,2*ROW()-2))</f>
        <v/>
      </c>
      <c r="C119" t="str">
        <f>IF(INDEX(키움raw!A:A,2*ROW()-2)="","",INDEX(키움raw!K:K,2*ROW()-2))</f>
        <v/>
      </c>
      <c r="D119" t="str">
        <f>IF(INDEX(키움raw!A:A,2*ROW()-2)="","",INDEX(키움raw!B:B,2*ROW()-2))</f>
        <v/>
      </c>
      <c r="E119" t="str">
        <f>IF(INDEX(키움raw!A:A,2*ROW()-2)="","",INDEX(키움raw!D:D,2*ROW()-2)&amp;" "&amp;SUBSTITUTE(SUBSTITUTE(INDEX(키움raw!F:F,2*ROW()-3),"현금매수","장내매수"),"현금매도","장내매도"))</f>
        <v/>
      </c>
      <c r="F119" t="str">
        <f>IF(INDEX(키움raw!A:A,2*ROW()-2)="","",INDEX(키움raw!E:E,2*ROW()-2))</f>
        <v/>
      </c>
      <c r="G119" t="str">
        <f>IF(INDEX(키움raw!A:A,2*ROW()-2)="","",INDEX(키움raw!F:F,2*ROW()-2))</f>
        <v/>
      </c>
      <c r="X119" t="str">
        <f>IF(INDEX(키움raw!A:A,2*ROW()-2)="","",TEXT(INDEX(키움raw!D:D,2*ROW()-3),"000000"))</f>
        <v/>
      </c>
      <c r="AA119" t="str">
        <f>IF(INDEX(키움raw!A:A,2*ROW()-2)="","",INDEX(키움raw!A:A,2*ROW()-2))</f>
        <v/>
      </c>
    </row>
    <row r="120" spans="1:27" x14ac:dyDescent="0.3">
      <c r="A120" t="str">
        <f>IF(INDEX(키움raw!A:A,2*ROW()-2)="","",$B$1)</f>
        <v/>
      </c>
      <c r="B120" t="str">
        <f>IF(INDEX(키움raw!A:A,2*ROW()-2)="","",INDEX(키움raw!A:A,2*ROW()-2))</f>
        <v/>
      </c>
      <c r="C120" t="str">
        <f>IF(INDEX(키움raw!A:A,2*ROW()-2)="","",INDEX(키움raw!K:K,2*ROW()-2))</f>
        <v/>
      </c>
      <c r="D120" t="str">
        <f>IF(INDEX(키움raw!A:A,2*ROW()-2)="","",INDEX(키움raw!B:B,2*ROW()-2))</f>
        <v/>
      </c>
      <c r="E120" t="str">
        <f>IF(INDEX(키움raw!A:A,2*ROW()-2)="","",INDEX(키움raw!D:D,2*ROW()-2)&amp;" "&amp;SUBSTITUTE(SUBSTITUTE(INDEX(키움raw!F:F,2*ROW()-3),"현금매수","장내매수"),"현금매도","장내매도"))</f>
        <v/>
      </c>
      <c r="F120" t="str">
        <f>IF(INDEX(키움raw!A:A,2*ROW()-2)="","",INDEX(키움raw!E:E,2*ROW()-2))</f>
        <v/>
      </c>
      <c r="G120" t="str">
        <f>IF(INDEX(키움raw!A:A,2*ROW()-2)="","",INDEX(키움raw!F:F,2*ROW()-2))</f>
        <v/>
      </c>
      <c r="X120" t="str">
        <f>IF(INDEX(키움raw!A:A,2*ROW()-2)="","",TEXT(INDEX(키움raw!D:D,2*ROW()-3),"000000"))</f>
        <v/>
      </c>
      <c r="AA120" t="str">
        <f>IF(INDEX(키움raw!A:A,2*ROW()-2)="","",INDEX(키움raw!A:A,2*ROW()-2))</f>
        <v/>
      </c>
    </row>
    <row r="121" spans="1:27" x14ac:dyDescent="0.3">
      <c r="A121" t="str">
        <f>IF(INDEX(키움raw!A:A,2*ROW()-2)="","",$B$1)</f>
        <v/>
      </c>
      <c r="B121" t="str">
        <f>IF(INDEX(키움raw!A:A,2*ROW()-2)="","",INDEX(키움raw!A:A,2*ROW()-2))</f>
        <v/>
      </c>
      <c r="C121" t="str">
        <f>IF(INDEX(키움raw!A:A,2*ROW()-2)="","",INDEX(키움raw!K:K,2*ROW()-2))</f>
        <v/>
      </c>
      <c r="D121" t="str">
        <f>IF(INDEX(키움raw!A:A,2*ROW()-2)="","",INDEX(키움raw!B:B,2*ROW()-2))</f>
        <v/>
      </c>
      <c r="E121" t="str">
        <f>IF(INDEX(키움raw!A:A,2*ROW()-2)="","",INDEX(키움raw!D:D,2*ROW()-2)&amp;" "&amp;SUBSTITUTE(SUBSTITUTE(INDEX(키움raw!F:F,2*ROW()-3),"현금매수","장내매수"),"현금매도","장내매도"))</f>
        <v/>
      </c>
      <c r="F121" t="str">
        <f>IF(INDEX(키움raw!A:A,2*ROW()-2)="","",INDEX(키움raw!E:E,2*ROW()-2))</f>
        <v/>
      </c>
      <c r="G121" t="str">
        <f>IF(INDEX(키움raw!A:A,2*ROW()-2)="","",INDEX(키움raw!F:F,2*ROW()-2))</f>
        <v/>
      </c>
      <c r="X121" t="str">
        <f>IF(INDEX(키움raw!A:A,2*ROW()-2)="","",TEXT(INDEX(키움raw!D:D,2*ROW()-3),"000000"))</f>
        <v/>
      </c>
      <c r="AA121" t="str">
        <f>IF(INDEX(키움raw!A:A,2*ROW()-2)="","",INDEX(키움raw!A:A,2*ROW()-2))</f>
        <v/>
      </c>
    </row>
    <row r="122" spans="1:27" x14ac:dyDescent="0.3">
      <c r="A122" t="str">
        <f>IF(INDEX(키움raw!A:A,2*ROW()-2)="","",$B$1)</f>
        <v/>
      </c>
      <c r="B122" t="str">
        <f>IF(INDEX(키움raw!A:A,2*ROW()-2)="","",INDEX(키움raw!A:A,2*ROW()-2))</f>
        <v/>
      </c>
      <c r="C122" t="str">
        <f>IF(INDEX(키움raw!A:A,2*ROW()-2)="","",INDEX(키움raw!K:K,2*ROW()-2))</f>
        <v/>
      </c>
      <c r="D122" t="str">
        <f>IF(INDEX(키움raw!A:A,2*ROW()-2)="","",INDEX(키움raw!B:B,2*ROW()-2))</f>
        <v/>
      </c>
      <c r="E122" t="str">
        <f>IF(INDEX(키움raw!A:A,2*ROW()-2)="","",INDEX(키움raw!D:D,2*ROW()-2)&amp;" "&amp;SUBSTITUTE(SUBSTITUTE(INDEX(키움raw!F:F,2*ROW()-3),"현금매수","장내매수"),"현금매도","장내매도"))</f>
        <v/>
      </c>
      <c r="F122" t="str">
        <f>IF(INDEX(키움raw!A:A,2*ROW()-2)="","",INDEX(키움raw!E:E,2*ROW()-2))</f>
        <v/>
      </c>
      <c r="G122" t="str">
        <f>IF(INDEX(키움raw!A:A,2*ROW()-2)="","",INDEX(키움raw!F:F,2*ROW()-2))</f>
        <v/>
      </c>
      <c r="X122" t="str">
        <f>IF(INDEX(키움raw!A:A,2*ROW()-2)="","",TEXT(INDEX(키움raw!D:D,2*ROW()-3),"000000"))</f>
        <v/>
      </c>
      <c r="AA122" t="str">
        <f>IF(INDEX(키움raw!A:A,2*ROW()-2)="","",INDEX(키움raw!A:A,2*ROW()-2))</f>
        <v/>
      </c>
    </row>
    <row r="123" spans="1:27" x14ac:dyDescent="0.3">
      <c r="A123" t="str">
        <f>IF(INDEX(키움raw!A:A,2*ROW()-2)="","",$B$1)</f>
        <v/>
      </c>
      <c r="B123" t="str">
        <f>IF(INDEX(키움raw!A:A,2*ROW()-2)="","",INDEX(키움raw!A:A,2*ROW()-2))</f>
        <v/>
      </c>
      <c r="C123" t="str">
        <f>IF(INDEX(키움raw!A:A,2*ROW()-2)="","",INDEX(키움raw!K:K,2*ROW()-2))</f>
        <v/>
      </c>
      <c r="D123" t="str">
        <f>IF(INDEX(키움raw!A:A,2*ROW()-2)="","",INDEX(키움raw!B:B,2*ROW()-2))</f>
        <v/>
      </c>
      <c r="E123" t="str">
        <f>IF(INDEX(키움raw!A:A,2*ROW()-2)="","",INDEX(키움raw!D:D,2*ROW()-2)&amp;" "&amp;SUBSTITUTE(SUBSTITUTE(INDEX(키움raw!F:F,2*ROW()-3),"현금매수","장내매수"),"현금매도","장내매도"))</f>
        <v/>
      </c>
      <c r="F123" t="str">
        <f>IF(INDEX(키움raw!A:A,2*ROW()-2)="","",INDEX(키움raw!E:E,2*ROW()-2))</f>
        <v/>
      </c>
      <c r="G123" t="str">
        <f>IF(INDEX(키움raw!A:A,2*ROW()-2)="","",INDEX(키움raw!F:F,2*ROW()-2))</f>
        <v/>
      </c>
      <c r="X123" t="str">
        <f>IF(INDEX(키움raw!A:A,2*ROW()-2)="","",TEXT(INDEX(키움raw!D:D,2*ROW()-3),"000000"))</f>
        <v/>
      </c>
      <c r="AA123" t="str">
        <f>IF(INDEX(키움raw!A:A,2*ROW()-2)="","",INDEX(키움raw!A:A,2*ROW()-2))</f>
        <v/>
      </c>
    </row>
    <row r="124" spans="1:27" x14ac:dyDescent="0.3">
      <c r="A124" t="str">
        <f>IF(INDEX(키움raw!A:A,2*ROW()-2)="","",$B$1)</f>
        <v/>
      </c>
      <c r="B124" t="str">
        <f>IF(INDEX(키움raw!A:A,2*ROW()-2)="","",INDEX(키움raw!A:A,2*ROW()-2))</f>
        <v/>
      </c>
      <c r="C124" t="str">
        <f>IF(INDEX(키움raw!A:A,2*ROW()-2)="","",INDEX(키움raw!K:K,2*ROW()-2))</f>
        <v/>
      </c>
      <c r="D124" t="str">
        <f>IF(INDEX(키움raw!A:A,2*ROW()-2)="","",INDEX(키움raw!B:B,2*ROW()-2))</f>
        <v/>
      </c>
      <c r="E124" t="str">
        <f>IF(INDEX(키움raw!A:A,2*ROW()-2)="","",INDEX(키움raw!D:D,2*ROW()-2)&amp;" "&amp;SUBSTITUTE(SUBSTITUTE(INDEX(키움raw!F:F,2*ROW()-3),"현금매수","장내매수"),"현금매도","장내매도"))</f>
        <v/>
      </c>
      <c r="F124" t="str">
        <f>IF(INDEX(키움raw!A:A,2*ROW()-2)="","",INDEX(키움raw!E:E,2*ROW()-2))</f>
        <v/>
      </c>
      <c r="G124" t="str">
        <f>IF(INDEX(키움raw!A:A,2*ROW()-2)="","",INDEX(키움raw!F:F,2*ROW()-2))</f>
        <v/>
      </c>
      <c r="X124" t="str">
        <f>IF(INDEX(키움raw!A:A,2*ROW()-2)="","",TEXT(INDEX(키움raw!D:D,2*ROW()-3),"000000"))</f>
        <v/>
      </c>
      <c r="AA124" t="str">
        <f>IF(INDEX(키움raw!A:A,2*ROW()-2)="","",INDEX(키움raw!A:A,2*ROW()-2))</f>
        <v/>
      </c>
    </row>
    <row r="125" spans="1:27" x14ac:dyDescent="0.3">
      <c r="A125" t="str">
        <f>IF(INDEX(키움raw!A:A,2*ROW()-2)="","",$B$1)</f>
        <v/>
      </c>
      <c r="B125" t="str">
        <f>IF(INDEX(키움raw!A:A,2*ROW()-2)="","",INDEX(키움raw!A:A,2*ROW()-2))</f>
        <v/>
      </c>
      <c r="C125" t="str">
        <f>IF(INDEX(키움raw!A:A,2*ROW()-2)="","",INDEX(키움raw!K:K,2*ROW()-2))</f>
        <v/>
      </c>
      <c r="D125" t="str">
        <f>IF(INDEX(키움raw!A:A,2*ROW()-2)="","",INDEX(키움raw!B:B,2*ROW()-2))</f>
        <v/>
      </c>
      <c r="E125" t="str">
        <f>IF(INDEX(키움raw!A:A,2*ROW()-2)="","",INDEX(키움raw!D:D,2*ROW()-2)&amp;" "&amp;SUBSTITUTE(SUBSTITUTE(INDEX(키움raw!F:F,2*ROW()-3),"현금매수","장내매수"),"현금매도","장내매도"))</f>
        <v/>
      </c>
      <c r="F125" t="str">
        <f>IF(INDEX(키움raw!A:A,2*ROW()-2)="","",INDEX(키움raw!E:E,2*ROW()-2))</f>
        <v/>
      </c>
      <c r="G125" t="str">
        <f>IF(INDEX(키움raw!A:A,2*ROW()-2)="","",INDEX(키움raw!F:F,2*ROW()-2))</f>
        <v/>
      </c>
      <c r="X125" t="str">
        <f>IF(INDEX(키움raw!A:A,2*ROW()-2)="","",TEXT(INDEX(키움raw!D:D,2*ROW()-3),"000000"))</f>
        <v/>
      </c>
      <c r="AA125" t="str">
        <f>IF(INDEX(키움raw!A:A,2*ROW()-2)="","",INDEX(키움raw!A:A,2*ROW()-2))</f>
        <v/>
      </c>
    </row>
    <row r="126" spans="1:27" x14ac:dyDescent="0.3">
      <c r="A126" t="str">
        <f>IF(INDEX(키움raw!A:A,2*ROW()-2)="","",$B$1)</f>
        <v/>
      </c>
      <c r="B126" t="str">
        <f>IF(INDEX(키움raw!A:A,2*ROW()-2)="","",INDEX(키움raw!A:A,2*ROW()-2))</f>
        <v/>
      </c>
      <c r="C126" t="str">
        <f>IF(INDEX(키움raw!A:A,2*ROW()-2)="","",INDEX(키움raw!K:K,2*ROW()-2))</f>
        <v/>
      </c>
      <c r="D126" t="str">
        <f>IF(INDEX(키움raw!A:A,2*ROW()-2)="","",INDEX(키움raw!B:B,2*ROW()-2))</f>
        <v/>
      </c>
      <c r="E126" t="str">
        <f>IF(INDEX(키움raw!A:A,2*ROW()-2)="","",INDEX(키움raw!D:D,2*ROW()-2)&amp;" "&amp;SUBSTITUTE(SUBSTITUTE(INDEX(키움raw!F:F,2*ROW()-3),"현금매수","장내매수"),"현금매도","장내매도"))</f>
        <v/>
      </c>
      <c r="F126" t="str">
        <f>IF(INDEX(키움raw!A:A,2*ROW()-2)="","",INDEX(키움raw!E:E,2*ROW()-2))</f>
        <v/>
      </c>
      <c r="G126" t="str">
        <f>IF(INDEX(키움raw!A:A,2*ROW()-2)="","",INDEX(키움raw!F:F,2*ROW()-2))</f>
        <v/>
      </c>
      <c r="X126" t="str">
        <f>IF(INDEX(키움raw!A:A,2*ROW()-2)="","",TEXT(INDEX(키움raw!D:D,2*ROW()-3),"000000"))</f>
        <v/>
      </c>
      <c r="AA126" t="str">
        <f>IF(INDEX(키움raw!A:A,2*ROW()-2)="","",INDEX(키움raw!A:A,2*ROW()-2))</f>
        <v/>
      </c>
    </row>
    <row r="127" spans="1:27" x14ac:dyDescent="0.3">
      <c r="A127" t="str">
        <f>IF(INDEX(키움raw!A:A,2*ROW()-2)="","",$B$1)</f>
        <v/>
      </c>
      <c r="B127" t="str">
        <f>IF(INDEX(키움raw!A:A,2*ROW()-2)="","",INDEX(키움raw!A:A,2*ROW()-2))</f>
        <v/>
      </c>
      <c r="C127" t="str">
        <f>IF(INDEX(키움raw!A:A,2*ROW()-2)="","",INDEX(키움raw!K:K,2*ROW()-2))</f>
        <v/>
      </c>
      <c r="D127" t="str">
        <f>IF(INDEX(키움raw!A:A,2*ROW()-2)="","",INDEX(키움raw!B:B,2*ROW()-2))</f>
        <v/>
      </c>
      <c r="E127" t="str">
        <f>IF(INDEX(키움raw!A:A,2*ROW()-2)="","",INDEX(키움raw!D:D,2*ROW()-2)&amp;" "&amp;SUBSTITUTE(SUBSTITUTE(INDEX(키움raw!F:F,2*ROW()-3),"현금매수","장내매수"),"현금매도","장내매도"))</f>
        <v/>
      </c>
      <c r="F127" t="str">
        <f>IF(INDEX(키움raw!A:A,2*ROW()-2)="","",INDEX(키움raw!E:E,2*ROW()-2))</f>
        <v/>
      </c>
      <c r="G127" t="str">
        <f>IF(INDEX(키움raw!A:A,2*ROW()-2)="","",INDEX(키움raw!F:F,2*ROW()-2))</f>
        <v/>
      </c>
      <c r="X127" t="str">
        <f>IF(INDEX(키움raw!A:A,2*ROW()-2)="","",TEXT(INDEX(키움raw!D:D,2*ROW()-3),"000000"))</f>
        <v/>
      </c>
      <c r="AA127" t="str">
        <f>IF(INDEX(키움raw!A:A,2*ROW()-2)="","",INDEX(키움raw!A:A,2*ROW()-2))</f>
        <v/>
      </c>
    </row>
    <row r="128" spans="1:27" x14ac:dyDescent="0.3">
      <c r="A128" t="str">
        <f>IF(INDEX(키움raw!A:A,2*ROW()-2)="","",$B$1)</f>
        <v/>
      </c>
      <c r="B128" t="str">
        <f>IF(INDEX(키움raw!A:A,2*ROW()-2)="","",INDEX(키움raw!A:A,2*ROW()-2))</f>
        <v/>
      </c>
      <c r="C128" t="str">
        <f>IF(INDEX(키움raw!A:A,2*ROW()-2)="","",INDEX(키움raw!K:K,2*ROW()-2))</f>
        <v/>
      </c>
      <c r="D128" t="str">
        <f>IF(INDEX(키움raw!A:A,2*ROW()-2)="","",INDEX(키움raw!B:B,2*ROW()-2))</f>
        <v/>
      </c>
      <c r="E128" t="str">
        <f>IF(INDEX(키움raw!A:A,2*ROW()-2)="","",INDEX(키움raw!D:D,2*ROW()-2)&amp;" "&amp;SUBSTITUTE(SUBSTITUTE(INDEX(키움raw!F:F,2*ROW()-3),"현금매수","장내매수"),"현금매도","장내매도"))</f>
        <v/>
      </c>
      <c r="F128" t="str">
        <f>IF(INDEX(키움raw!A:A,2*ROW()-2)="","",INDEX(키움raw!E:E,2*ROW()-2))</f>
        <v/>
      </c>
      <c r="G128" t="str">
        <f>IF(INDEX(키움raw!A:A,2*ROW()-2)="","",INDEX(키움raw!F:F,2*ROW()-2))</f>
        <v/>
      </c>
      <c r="X128" t="str">
        <f>IF(INDEX(키움raw!A:A,2*ROW()-2)="","",TEXT(INDEX(키움raw!D:D,2*ROW()-3),"000000"))</f>
        <v/>
      </c>
      <c r="AA128" t="str">
        <f>IF(INDEX(키움raw!A:A,2*ROW()-2)="","",INDEX(키움raw!A:A,2*ROW()-2))</f>
        <v/>
      </c>
    </row>
    <row r="129" spans="1:27" x14ac:dyDescent="0.3">
      <c r="A129" t="str">
        <f>IF(INDEX(키움raw!A:A,2*ROW()-2)="","",$B$1)</f>
        <v/>
      </c>
      <c r="B129" t="str">
        <f>IF(INDEX(키움raw!A:A,2*ROW()-2)="","",INDEX(키움raw!A:A,2*ROW()-2))</f>
        <v/>
      </c>
      <c r="C129" t="str">
        <f>IF(INDEX(키움raw!A:A,2*ROW()-2)="","",INDEX(키움raw!K:K,2*ROW()-2))</f>
        <v/>
      </c>
      <c r="D129" t="str">
        <f>IF(INDEX(키움raw!A:A,2*ROW()-2)="","",INDEX(키움raw!B:B,2*ROW()-2))</f>
        <v/>
      </c>
      <c r="E129" t="str">
        <f>IF(INDEX(키움raw!A:A,2*ROW()-2)="","",INDEX(키움raw!D:D,2*ROW()-2)&amp;" "&amp;SUBSTITUTE(SUBSTITUTE(INDEX(키움raw!F:F,2*ROW()-3),"현금매수","장내매수"),"현금매도","장내매도"))</f>
        <v/>
      </c>
      <c r="F129" t="str">
        <f>IF(INDEX(키움raw!A:A,2*ROW()-2)="","",INDEX(키움raw!E:E,2*ROW()-2))</f>
        <v/>
      </c>
      <c r="G129" t="str">
        <f>IF(INDEX(키움raw!A:A,2*ROW()-2)="","",INDEX(키움raw!F:F,2*ROW()-2))</f>
        <v/>
      </c>
      <c r="X129" t="str">
        <f>IF(INDEX(키움raw!A:A,2*ROW()-2)="","",TEXT(INDEX(키움raw!D:D,2*ROW()-3),"000000"))</f>
        <v/>
      </c>
      <c r="AA129" t="str">
        <f>IF(INDEX(키움raw!A:A,2*ROW()-2)="","",INDEX(키움raw!A:A,2*ROW()-2))</f>
        <v/>
      </c>
    </row>
    <row r="130" spans="1:27" x14ac:dyDescent="0.3">
      <c r="A130" t="str">
        <f>IF(INDEX(키움raw!A:A,2*ROW()-2)="","",$B$1)</f>
        <v/>
      </c>
      <c r="B130" t="str">
        <f>IF(INDEX(키움raw!A:A,2*ROW()-2)="","",INDEX(키움raw!A:A,2*ROW()-2))</f>
        <v/>
      </c>
      <c r="C130" t="str">
        <f>IF(INDEX(키움raw!A:A,2*ROW()-2)="","",INDEX(키움raw!K:K,2*ROW()-2))</f>
        <v/>
      </c>
      <c r="D130" t="str">
        <f>IF(INDEX(키움raw!A:A,2*ROW()-2)="","",INDEX(키움raw!B:B,2*ROW()-2))</f>
        <v/>
      </c>
      <c r="E130" t="str">
        <f>IF(INDEX(키움raw!A:A,2*ROW()-2)="","",INDEX(키움raw!D:D,2*ROW()-2)&amp;" "&amp;SUBSTITUTE(SUBSTITUTE(INDEX(키움raw!F:F,2*ROW()-3),"현금매수","장내매수"),"현금매도","장내매도"))</f>
        <v/>
      </c>
      <c r="F130" t="str">
        <f>IF(INDEX(키움raw!A:A,2*ROW()-2)="","",INDEX(키움raw!E:E,2*ROW()-2))</f>
        <v/>
      </c>
      <c r="G130" t="str">
        <f>IF(INDEX(키움raw!A:A,2*ROW()-2)="","",INDEX(키움raw!F:F,2*ROW()-2))</f>
        <v/>
      </c>
      <c r="X130" t="str">
        <f>IF(INDEX(키움raw!A:A,2*ROW()-2)="","",TEXT(INDEX(키움raw!D:D,2*ROW()-3),"000000"))</f>
        <v/>
      </c>
      <c r="AA130" t="str">
        <f>IF(INDEX(키움raw!A:A,2*ROW()-2)="","",INDEX(키움raw!A:A,2*ROW()-2))</f>
        <v/>
      </c>
    </row>
    <row r="131" spans="1:27" x14ac:dyDescent="0.3">
      <c r="A131" t="str">
        <f>IF(INDEX(키움raw!A:A,2*ROW()-2)="","",$B$1)</f>
        <v/>
      </c>
      <c r="B131" t="str">
        <f>IF(INDEX(키움raw!A:A,2*ROW()-2)="","",INDEX(키움raw!A:A,2*ROW()-2))</f>
        <v/>
      </c>
      <c r="C131" t="str">
        <f>IF(INDEX(키움raw!A:A,2*ROW()-2)="","",INDEX(키움raw!K:K,2*ROW()-2))</f>
        <v/>
      </c>
      <c r="D131" t="str">
        <f>IF(INDEX(키움raw!A:A,2*ROW()-2)="","",INDEX(키움raw!B:B,2*ROW()-2))</f>
        <v/>
      </c>
      <c r="E131" t="str">
        <f>IF(INDEX(키움raw!A:A,2*ROW()-2)="","",INDEX(키움raw!D:D,2*ROW()-2)&amp;" "&amp;SUBSTITUTE(SUBSTITUTE(INDEX(키움raw!F:F,2*ROW()-3),"현금매수","장내매수"),"현금매도","장내매도"))</f>
        <v/>
      </c>
      <c r="F131" t="str">
        <f>IF(INDEX(키움raw!A:A,2*ROW()-2)="","",INDEX(키움raw!E:E,2*ROW()-2))</f>
        <v/>
      </c>
      <c r="G131" t="str">
        <f>IF(INDEX(키움raw!A:A,2*ROW()-2)="","",INDEX(키움raw!F:F,2*ROW()-2))</f>
        <v/>
      </c>
      <c r="X131" t="str">
        <f>IF(INDEX(키움raw!A:A,2*ROW()-2)="","",TEXT(INDEX(키움raw!D:D,2*ROW()-3),"000000"))</f>
        <v/>
      </c>
      <c r="AA131" t="str">
        <f>IF(INDEX(키움raw!A:A,2*ROW()-2)="","",INDEX(키움raw!A:A,2*ROW()-2))</f>
        <v/>
      </c>
    </row>
    <row r="132" spans="1:27" x14ac:dyDescent="0.3">
      <c r="A132" t="str">
        <f>IF(INDEX(키움raw!A:A,2*ROW()-2)="","",$B$1)</f>
        <v/>
      </c>
      <c r="B132" t="str">
        <f>IF(INDEX(키움raw!A:A,2*ROW()-2)="","",INDEX(키움raw!A:A,2*ROW()-2))</f>
        <v/>
      </c>
      <c r="C132" t="str">
        <f>IF(INDEX(키움raw!A:A,2*ROW()-2)="","",INDEX(키움raw!K:K,2*ROW()-2))</f>
        <v/>
      </c>
      <c r="D132" t="str">
        <f>IF(INDEX(키움raw!A:A,2*ROW()-2)="","",INDEX(키움raw!B:B,2*ROW()-2))</f>
        <v/>
      </c>
      <c r="E132" t="str">
        <f>IF(INDEX(키움raw!A:A,2*ROW()-2)="","",INDEX(키움raw!D:D,2*ROW()-2)&amp;" "&amp;SUBSTITUTE(SUBSTITUTE(INDEX(키움raw!F:F,2*ROW()-3),"현금매수","장내매수"),"현금매도","장내매도"))</f>
        <v/>
      </c>
      <c r="F132" t="str">
        <f>IF(INDEX(키움raw!A:A,2*ROW()-2)="","",INDEX(키움raw!E:E,2*ROW()-2))</f>
        <v/>
      </c>
      <c r="G132" t="str">
        <f>IF(INDEX(키움raw!A:A,2*ROW()-2)="","",INDEX(키움raw!F:F,2*ROW()-2))</f>
        <v/>
      </c>
      <c r="X132" t="str">
        <f>IF(INDEX(키움raw!A:A,2*ROW()-2)="","",TEXT(INDEX(키움raw!D:D,2*ROW()-3),"000000"))</f>
        <v/>
      </c>
      <c r="AA132" t="str">
        <f>IF(INDEX(키움raw!A:A,2*ROW()-2)="","",INDEX(키움raw!A:A,2*ROW()-2))</f>
        <v/>
      </c>
    </row>
    <row r="133" spans="1:27" x14ac:dyDescent="0.3">
      <c r="A133" t="str">
        <f>IF(INDEX(키움raw!A:A,2*ROW()-2)="","",$B$1)</f>
        <v/>
      </c>
      <c r="B133" t="str">
        <f>IF(INDEX(키움raw!A:A,2*ROW()-2)="","",INDEX(키움raw!A:A,2*ROW()-2))</f>
        <v/>
      </c>
      <c r="C133" t="str">
        <f>IF(INDEX(키움raw!A:A,2*ROW()-2)="","",INDEX(키움raw!K:K,2*ROW()-2))</f>
        <v/>
      </c>
      <c r="D133" t="str">
        <f>IF(INDEX(키움raw!A:A,2*ROW()-2)="","",INDEX(키움raw!B:B,2*ROW()-2))</f>
        <v/>
      </c>
      <c r="E133" t="str">
        <f>IF(INDEX(키움raw!A:A,2*ROW()-2)="","",INDEX(키움raw!D:D,2*ROW()-2)&amp;" "&amp;SUBSTITUTE(SUBSTITUTE(INDEX(키움raw!F:F,2*ROW()-3),"현금매수","장내매수"),"현금매도","장내매도"))</f>
        <v/>
      </c>
      <c r="F133" t="str">
        <f>IF(INDEX(키움raw!A:A,2*ROW()-2)="","",INDEX(키움raw!E:E,2*ROW()-2))</f>
        <v/>
      </c>
      <c r="G133" t="str">
        <f>IF(INDEX(키움raw!A:A,2*ROW()-2)="","",INDEX(키움raw!F:F,2*ROW()-2))</f>
        <v/>
      </c>
      <c r="X133" t="str">
        <f>IF(INDEX(키움raw!A:A,2*ROW()-2)="","",TEXT(INDEX(키움raw!D:D,2*ROW()-3),"000000"))</f>
        <v/>
      </c>
      <c r="AA133" t="str">
        <f>IF(INDEX(키움raw!A:A,2*ROW()-2)="","",INDEX(키움raw!A:A,2*ROW()-2))</f>
        <v/>
      </c>
    </row>
    <row r="134" spans="1:27" x14ac:dyDescent="0.3">
      <c r="A134" t="str">
        <f>IF(INDEX(키움raw!A:A,2*ROW()-2)="","",$B$1)</f>
        <v/>
      </c>
      <c r="B134" t="str">
        <f>IF(INDEX(키움raw!A:A,2*ROW()-2)="","",INDEX(키움raw!A:A,2*ROW()-2))</f>
        <v/>
      </c>
      <c r="C134" t="str">
        <f>IF(INDEX(키움raw!A:A,2*ROW()-2)="","",INDEX(키움raw!K:K,2*ROW()-2))</f>
        <v/>
      </c>
      <c r="D134" t="str">
        <f>IF(INDEX(키움raw!A:A,2*ROW()-2)="","",INDEX(키움raw!B:B,2*ROW()-2))</f>
        <v/>
      </c>
      <c r="E134" t="str">
        <f>IF(INDEX(키움raw!A:A,2*ROW()-2)="","",INDEX(키움raw!D:D,2*ROW()-2)&amp;" "&amp;SUBSTITUTE(SUBSTITUTE(INDEX(키움raw!F:F,2*ROW()-3),"현금매수","장내매수"),"현금매도","장내매도"))</f>
        <v/>
      </c>
      <c r="F134" t="str">
        <f>IF(INDEX(키움raw!A:A,2*ROW()-2)="","",INDEX(키움raw!E:E,2*ROW()-2))</f>
        <v/>
      </c>
      <c r="G134" t="str">
        <f>IF(INDEX(키움raw!A:A,2*ROW()-2)="","",INDEX(키움raw!F:F,2*ROW()-2))</f>
        <v/>
      </c>
      <c r="X134" t="str">
        <f>IF(INDEX(키움raw!A:A,2*ROW()-2)="","",TEXT(INDEX(키움raw!D:D,2*ROW()-3),"000000"))</f>
        <v/>
      </c>
      <c r="AA134" t="str">
        <f>IF(INDEX(키움raw!A:A,2*ROW()-2)="","",INDEX(키움raw!A:A,2*ROW()-2))</f>
        <v/>
      </c>
    </row>
    <row r="135" spans="1:27" x14ac:dyDescent="0.3">
      <c r="A135" t="str">
        <f>IF(INDEX(키움raw!A:A,2*ROW()-2)="","",$B$1)</f>
        <v/>
      </c>
      <c r="B135" t="str">
        <f>IF(INDEX(키움raw!A:A,2*ROW()-2)="","",INDEX(키움raw!A:A,2*ROW()-2))</f>
        <v/>
      </c>
      <c r="C135" t="str">
        <f>IF(INDEX(키움raw!A:A,2*ROW()-2)="","",INDEX(키움raw!K:K,2*ROW()-2))</f>
        <v/>
      </c>
      <c r="D135" t="str">
        <f>IF(INDEX(키움raw!A:A,2*ROW()-2)="","",INDEX(키움raw!B:B,2*ROW()-2))</f>
        <v/>
      </c>
      <c r="E135" t="str">
        <f>IF(INDEX(키움raw!A:A,2*ROW()-2)="","",INDEX(키움raw!D:D,2*ROW()-2)&amp;" "&amp;SUBSTITUTE(SUBSTITUTE(INDEX(키움raw!F:F,2*ROW()-3),"현금매수","장내매수"),"현금매도","장내매도"))</f>
        <v/>
      </c>
      <c r="F135" t="str">
        <f>IF(INDEX(키움raw!A:A,2*ROW()-2)="","",INDEX(키움raw!E:E,2*ROW()-2))</f>
        <v/>
      </c>
      <c r="G135" t="str">
        <f>IF(INDEX(키움raw!A:A,2*ROW()-2)="","",INDEX(키움raw!F:F,2*ROW()-2))</f>
        <v/>
      </c>
      <c r="X135" t="str">
        <f>IF(INDEX(키움raw!A:A,2*ROW()-2)="","",TEXT(INDEX(키움raw!D:D,2*ROW()-3),"000000"))</f>
        <v/>
      </c>
      <c r="AA135" t="str">
        <f>IF(INDEX(키움raw!A:A,2*ROW()-2)="","",INDEX(키움raw!A:A,2*ROW()-2))</f>
        <v/>
      </c>
    </row>
    <row r="136" spans="1:27" x14ac:dyDescent="0.3">
      <c r="A136" t="str">
        <f>IF(INDEX(키움raw!A:A,2*ROW()-2)="","",$B$1)</f>
        <v/>
      </c>
      <c r="B136" t="str">
        <f>IF(INDEX(키움raw!A:A,2*ROW()-2)="","",INDEX(키움raw!A:A,2*ROW()-2))</f>
        <v/>
      </c>
      <c r="C136" t="str">
        <f>IF(INDEX(키움raw!A:A,2*ROW()-2)="","",INDEX(키움raw!K:K,2*ROW()-2))</f>
        <v/>
      </c>
      <c r="D136" t="str">
        <f>IF(INDEX(키움raw!A:A,2*ROW()-2)="","",INDEX(키움raw!B:B,2*ROW()-2))</f>
        <v/>
      </c>
      <c r="E136" t="str">
        <f>IF(INDEX(키움raw!A:A,2*ROW()-2)="","",INDEX(키움raw!D:D,2*ROW()-2)&amp;" "&amp;SUBSTITUTE(SUBSTITUTE(INDEX(키움raw!F:F,2*ROW()-3),"현금매수","장내매수"),"현금매도","장내매도"))</f>
        <v/>
      </c>
      <c r="F136" t="str">
        <f>IF(INDEX(키움raw!A:A,2*ROW()-2)="","",INDEX(키움raw!E:E,2*ROW()-2))</f>
        <v/>
      </c>
      <c r="G136" t="str">
        <f>IF(INDEX(키움raw!A:A,2*ROW()-2)="","",INDEX(키움raw!F:F,2*ROW()-2))</f>
        <v/>
      </c>
      <c r="X136" t="str">
        <f>IF(INDEX(키움raw!A:A,2*ROW()-2)="","",TEXT(INDEX(키움raw!D:D,2*ROW()-3),"000000"))</f>
        <v/>
      </c>
      <c r="AA136" t="str">
        <f>IF(INDEX(키움raw!A:A,2*ROW()-2)="","",INDEX(키움raw!A:A,2*ROW()-2))</f>
        <v/>
      </c>
    </row>
    <row r="137" spans="1:27" x14ac:dyDescent="0.3">
      <c r="A137" t="str">
        <f>IF(INDEX(키움raw!A:A,2*ROW()-2)="","",$B$1)</f>
        <v/>
      </c>
      <c r="B137" t="str">
        <f>IF(INDEX(키움raw!A:A,2*ROW()-2)="","",INDEX(키움raw!A:A,2*ROW()-2))</f>
        <v/>
      </c>
      <c r="C137" t="str">
        <f>IF(INDEX(키움raw!A:A,2*ROW()-2)="","",INDEX(키움raw!K:K,2*ROW()-2))</f>
        <v/>
      </c>
      <c r="D137" t="str">
        <f>IF(INDEX(키움raw!A:A,2*ROW()-2)="","",INDEX(키움raw!B:B,2*ROW()-2))</f>
        <v/>
      </c>
      <c r="E137" t="str">
        <f>IF(INDEX(키움raw!A:A,2*ROW()-2)="","",INDEX(키움raw!D:D,2*ROW()-2)&amp;" "&amp;SUBSTITUTE(SUBSTITUTE(INDEX(키움raw!F:F,2*ROW()-3),"현금매수","장내매수"),"현금매도","장내매도"))</f>
        <v/>
      </c>
      <c r="F137" t="str">
        <f>IF(INDEX(키움raw!A:A,2*ROW()-2)="","",INDEX(키움raw!E:E,2*ROW()-2))</f>
        <v/>
      </c>
      <c r="G137" t="str">
        <f>IF(INDEX(키움raw!A:A,2*ROW()-2)="","",INDEX(키움raw!F:F,2*ROW()-2))</f>
        <v/>
      </c>
      <c r="X137" t="str">
        <f>IF(INDEX(키움raw!A:A,2*ROW()-2)="","",TEXT(INDEX(키움raw!D:D,2*ROW()-3),"000000"))</f>
        <v/>
      </c>
      <c r="AA137" t="str">
        <f>IF(INDEX(키움raw!A:A,2*ROW()-2)="","",INDEX(키움raw!A:A,2*ROW()-2))</f>
        <v/>
      </c>
    </row>
    <row r="138" spans="1:27" x14ac:dyDescent="0.3">
      <c r="A138" t="str">
        <f>IF(INDEX(키움raw!A:A,2*ROW()-2)="","",$B$1)</f>
        <v/>
      </c>
      <c r="B138" t="str">
        <f>IF(INDEX(키움raw!A:A,2*ROW()-2)="","",INDEX(키움raw!A:A,2*ROW()-2))</f>
        <v/>
      </c>
      <c r="C138" t="str">
        <f>IF(INDEX(키움raw!A:A,2*ROW()-2)="","",INDEX(키움raw!K:K,2*ROW()-2))</f>
        <v/>
      </c>
      <c r="D138" t="str">
        <f>IF(INDEX(키움raw!A:A,2*ROW()-2)="","",INDEX(키움raw!B:B,2*ROW()-2))</f>
        <v/>
      </c>
      <c r="E138" t="str">
        <f>IF(INDEX(키움raw!A:A,2*ROW()-2)="","",INDEX(키움raw!D:D,2*ROW()-2)&amp;" "&amp;SUBSTITUTE(SUBSTITUTE(INDEX(키움raw!F:F,2*ROW()-3),"현금매수","장내매수"),"현금매도","장내매도"))</f>
        <v/>
      </c>
      <c r="F138" t="str">
        <f>IF(INDEX(키움raw!A:A,2*ROW()-2)="","",INDEX(키움raw!E:E,2*ROW()-2))</f>
        <v/>
      </c>
      <c r="G138" t="str">
        <f>IF(INDEX(키움raw!A:A,2*ROW()-2)="","",INDEX(키움raw!F:F,2*ROW()-2))</f>
        <v/>
      </c>
      <c r="X138" t="str">
        <f>IF(INDEX(키움raw!A:A,2*ROW()-2)="","",TEXT(INDEX(키움raw!D:D,2*ROW()-3),"000000"))</f>
        <v/>
      </c>
      <c r="AA138" t="str">
        <f>IF(INDEX(키움raw!A:A,2*ROW()-2)="","",INDEX(키움raw!A:A,2*ROW()-2))</f>
        <v/>
      </c>
    </row>
    <row r="139" spans="1:27" x14ac:dyDescent="0.3">
      <c r="A139" t="str">
        <f>IF(INDEX(키움raw!A:A,2*ROW()-2)="","",$B$1)</f>
        <v/>
      </c>
      <c r="B139" t="str">
        <f>IF(INDEX(키움raw!A:A,2*ROW()-2)="","",INDEX(키움raw!A:A,2*ROW()-2))</f>
        <v/>
      </c>
      <c r="C139" t="str">
        <f>IF(INDEX(키움raw!A:A,2*ROW()-2)="","",INDEX(키움raw!K:K,2*ROW()-2))</f>
        <v/>
      </c>
      <c r="D139" t="str">
        <f>IF(INDEX(키움raw!A:A,2*ROW()-2)="","",INDEX(키움raw!B:B,2*ROW()-2))</f>
        <v/>
      </c>
      <c r="E139" t="str">
        <f>IF(INDEX(키움raw!A:A,2*ROW()-2)="","",INDEX(키움raw!D:D,2*ROW()-2)&amp;" "&amp;SUBSTITUTE(SUBSTITUTE(INDEX(키움raw!F:F,2*ROW()-3),"현금매수","장내매수"),"현금매도","장내매도"))</f>
        <v/>
      </c>
      <c r="F139" t="str">
        <f>IF(INDEX(키움raw!A:A,2*ROW()-2)="","",INDEX(키움raw!E:E,2*ROW()-2))</f>
        <v/>
      </c>
      <c r="G139" t="str">
        <f>IF(INDEX(키움raw!A:A,2*ROW()-2)="","",INDEX(키움raw!F:F,2*ROW()-2))</f>
        <v/>
      </c>
      <c r="X139" t="str">
        <f>IF(INDEX(키움raw!A:A,2*ROW()-2)="","",TEXT(INDEX(키움raw!D:D,2*ROW()-3),"000000"))</f>
        <v/>
      </c>
      <c r="AA139" t="str">
        <f>IF(INDEX(키움raw!A:A,2*ROW()-2)="","",INDEX(키움raw!A:A,2*ROW()-2))</f>
        <v/>
      </c>
    </row>
    <row r="140" spans="1:27" x14ac:dyDescent="0.3">
      <c r="A140" t="str">
        <f>IF(INDEX(키움raw!A:A,2*ROW()-2)="","",$B$1)</f>
        <v/>
      </c>
      <c r="B140" t="str">
        <f>IF(INDEX(키움raw!A:A,2*ROW()-2)="","",INDEX(키움raw!A:A,2*ROW()-2))</f>
        <v/>
      </c>
      <c r="C140" t="str">
        <f>IF(INDEX(키움raw!A:A,2*ROW()-2)="","",INDEX(키움raw!K:K,2*ROW()-2))</f>
        <v/>
      </c>
      <c r="D140" t="str">
        <f>IF(INDEX(키움raw!A:A,2*ROW()-2)="","",INDEX(키움raw!B:B,2*ROW()-2))</f>
        <v/>
      </c>
      <c r="E140" t="str">
        <f>IF(INDEX(키움raw!A:A,2*ROW()-2)="","",INDEX(키움raw!D:D,2*ROW()-2)&amp;" "&amp;SUBSTITUTE(SUBSTITUTE(INDEX(키움raw!F:F,2*ROW()-3),"현금매수","장내매수"),"현금매도","장내매도"))</f>
        <v/>
      </c>
      <c r="F140" t="str">
        <f>IF(INDEX(키움raw!A:A,2*ROW()-2)="","",INDEX(키움raw!E:E,2*ROW()-2))</f>
        <v/>
      </c>
      <c r="G140" t="str">
        <f>IF(INDEX(키움raw!A:A,2*ROW()-2)="","",INDEX(키움raw!F:F,2*ROW()-2))</f>
        <v/>
      </c>
      <c r="X140" t="str">
        <f>IF(INDEX(키움raw!A:A,2*ROW()-2)="","",TEXT(INDEX(키움raw!D:D,2*ROW()-3),"000000"))</f>
        <v/>
      </c>
      <c r="AA140" t="str">
        <f>IF(INDEX(키움raw!A:A,2*ROW()-2)="","",INDEX(키움raw!A:A,2*ROW()-2))</f>
        <v/>
      </c>
    </row>
    <row r="141" spans="1:27" x14ac:dyDescent="0.3">
      <c r="A141" t="str">
        <f>IF(INDEX(키움raw!A:A,2*ROW()-2)="","",$B$1)</f>
        <v/>
      </c>
      <c r="B141" t="str">
        <f>IF(INDEX(키움raw!A:A,2*ROW()-2)="","",INDEX(키움raw!A:A,2*ROW()-2))</f>
        <v/>
      </c>
      <c r="C141" t="str">
        <f>IF(INDEX(키움raw!A:A,2*ROW()-2)="","",INDEX(키움raw!K:K,2*ROW()-2))</f>
        <v/>
      </c>
      <c r="D141" t="str">
        <f>IF(INDEX(키움raw!A:A,2*ROW()-2)="","",INDEX(키움raw!B:B,2*ROW()-2))</f>
        <v/>
      </c>
      <c r="E141" t="str">
        <f>IF(INDEX(키움raw!A:A,2*ROW()-2)="","",INDEX(키움raw!D:D,2*ROW()-2)&amp;" "&amp;SUBSTITUTE(SUBSTITUTE(INDEX(키움raw!F:F,2*ROW()-3),"현금매수","장내매수"),"현금매도","장내매도"))</f>
        <v/>
      </c>
      <c r="F141" t="str">
        <f>IF(INDEX(키움raw!A:A,2*ROW()-2)="","",INDEX(키움raw!E:E,2*ROW()-2))</f>
        <v/>
      </c>
      <c r="G141" t="str">
        <f>IF(INDEX(키움raw!A:A,2*ROW()-2)="","",INDEX(키움raw!F:F,2*ROW()-2))</f>
        <v/>
      </c>
      <c r="X141" t="str">
        <f>IF(INDEX(키움raw!A:A,2*ROW()-2)="","",TEXT(INDEX(키움raw!D:D,2*ROW()-3),"000000"))</f>
        <v/>
      </c>
      <c r="AA141" t="str">
        <f>IF(INDEX(키움raw!A:A,2*ROW()-2)="","",INDEX(키움raw!A:A,2*ROW()-2))</f>
        <v/>
      </c>
    </row>
    <row r="142" spans="1:27" x14ac:dyDescent="0.3">
      <c r="A142" t="str">
        <f>IF(INDEX(키움raw!A:A,2*ROW()-2)="","",$B$1)</f>
        <v/>
      </c>
      <c r="B142" t="str">
        <f>IF(INDEX(키움raw!A:A,2*ROW()-2)="","",INDEX(키움raw!A:A,2*ROW()-2))</f>
        <v/>
      </c>
      <c r="C142" t="str">
        <f>IF(INDEX(키움raw!A:A,2*ROW()-2)="","",INDEX(키움raw!K:K,2*ROW()-2))</f>
        <v/>
      </c>
      <c r="D142" t="str">
        <f>IF(INDEX(키움raw!A:A,2*ROW()-2)="","",INDEX(키움raw!B:B,2*ROW()-2))</f>
        <v/>
      </c>
      <c r="E142" t="str">
        <f>IF(INDEX(키움raw!A:A,2*ROW()-2)="","",INDEX(키움raw!D:D,2*ROW()-2)&amp;" "&amp;SUBSTITUTE(SUBSTITUTE(INDEX(키움raw!F:F,2*ROW()-3),"현금매수","장내매수"),"현금매도","장내매도"))</f>
        <v/>
      </c>
      <c r="F142" t="str">
        <f>IF(INDEX(키움raw!A:A,2*ROW()-2)="","",INDEX(키움raw!E:E,2*ROW()-2))</f>
        <v/>
      </c>
      <c r="G142" t="str">
        <f>IF(INDEX(키움raw!A:A,2*ROW()-2)="","",INDEX(키움raw!F:F,2*ROW()-2))</f>
        <v/>
      </c>
      <c r="X142" t="str">
        <f>IF(INDEX(키움raw!A:A,2*ROW()-2)="","",TEXT(INDEX(키움raw!D:D,2*ROW()-3),"000000"))</f>
        <v/>
      </c>
      <c r="AA142" t="str">
        <f>IF(INDEX(키움raw!A:A,2*ROW()-2)="","",INDEX(키움raw!A:A,2*ROW()-2))</f>
        <v/>
      </c>
    </row>
    <row r="143" spans="1:27" x14ac:dyDescent="0.3">
      <c r="A143" t="str">
        <f>IF(INDEX(키움raw!A:A,2*ROW()-2)="","",$B$1)</f>
        <v/>
      </c>
      <c r="B143" t="str">
        <f>IF(INDEX(키움raw!A:A,2*ROW()-2)="","",INDEX(키움raw!A:A,2*ROW()-2))</f>
        <v/>
      </c>
      <c r="C143" t="str">
        <f>IF(INDEX(키움raw!A:A,2*ROW()-2)="","",INDEX(키움raw!K:K,2*ROW()-2))</f>
        <v/>
      </c>
      <c r="D143" t="str">
        <f>IF(INDEX(키움raw!A:A,2*ROW()-2)="","",INDEX(키움raw!B:B,2*ROW()-2))</f>
        <v/>
      </c>
      <c r="E143" t="str">
        <f>IF(INDEX(키움raw!A:A,2*ROW()-2)="","",INDEX(키움raw!D:D,2*ROW()-2)&amp;" "&amp;SUBSTITUTE(SUBSTITUTE(INDEX(키움raw!F:F,2*ROW()-3),"현금매수","장내매수"),"현금매도","장내매도"))</f>
        <v/>
      </c>
      <c r="F143" t="str">
        <f>IF(INDEX(키움raw!A:A,2*ROW()-2)="","",INDEX(키움raw!E:E,2*ROW()-2))</f>
        <v/>
      </c>
      <c r="G143" t="str">
        <f>IF(INDEX(키움raw!A:A,2*ROW()-2)="","",INDEX(키움raw!F:F,2*ROW()-2))</f>
        <v/>
      </c>
      <c r="X143" t="str">
        <f>IF(INDEX(키움raw!A:A,2*ROW()-2)="","",TEXT(INDEX(키움raw!D:D,2*ROW()-3),"000000"))</f>
        <v/>
      </c>
      <c r="AA143" t="str">
        <f>IF(INDEX(키움raw!A:A,2*ROW()-2)="","",INDEX(키움raw!A:A,2*ROW()-2))</f>
        <v/>
      </c>
    </row>
    <row r="144" spans="1:27" x14ac:dyDescent="0.3">
      <c r="A144" t="str">
        <f>IF(INDEX(키움raw!A:A,2*ROW()-2)="","",$B$1)</f>
        <v/>
      </c>
      <c r="B144" t="str">
        <f>IF(INDEX(키움raw!A:A,2*ROW()-2)="","",INDEX(키움raw!A:A,2*ROW()-2))</f>
        <v/>
      </c>
      <c r="C144" t="str">
        <f>IF(INDEX(키움raw!A:A,2*ROW()-2)="","",INDEX(키움raw!K:K,2*ROW()-2))</f>
        <v/>
      </c>
      <c r="D144" t="str">
        <f>IF(INDEX(키움raw!A:A,2*ROW()-2)="","",INDEX(키움raw!B:B,2*ROW()-2))</f>
        <v/>
      </c>
      <c r="E144" t="str">
        <f>IF(INDEX(키움raw!A:A,2*ROW()-2)="","",INDEX(키움raw!D:D,2*ROW()-2)&amp;" "&amp;SUBSTITUTE(SUBSTITUTE(INDEX(키움raw!F:F,2*ROW()-3),"현금매수","장내매수"),"현금매도","장내매도"))</f>
        <v/>
      </c>
      <c r="F144" t="str">
        <f>IF(INDEX(키움raw!A:A,2*ROW()-2)="","",INDEX(키움raw!E:E,2*ROW()-2))</f>
        <v/>
      </c>
      <c r="G144" t="str">
        <f>IF(INDEX(키움raw!A:A,2*ROW()-2)="","",INDEX(키움raw!F:F,2*ROW()-2))</f>
        <v/>
      </c>
      <c r="X144" t="str">
        <f>IF(INDEX(키움raw!A:A,2*ROW()-2)="","",TEXT(INDEX(키움raw!D:D,2*ROW()-3),"000000"))</f>
        <v/>
      </c>
      <c r="AA144" t="str">
        <f>IF(INDEX(키움raw!A:A,2*ROW()-2)="","",INDEX(키움raw!A:A,2*ROW()-2))</f>
        <v/>
      </c>
    </row>
    <row r="145" spans="1:27" x14ac:dyDescent="0.3">
      <c r="A145" t="str">
        <f>IF(INDEX(키움raw!A:A,2*ROW()-2)="","",$B$1)</f>
        <v/>
      </c>
      <c r="B145" t="str">
        <f>IF(INDEX(키움raw!A:A,2*ROW()-2)="","",INDEX(키움raw!A:A,2*ROW()-2))</f>
        <v/>
      </c>
      <c r="C145" t="str">
        <f>IF(INDEX(키움raw!A:A,2*ROW()-2)="","",INDEX(키움raw!K:K,2*ROW()-2))</f>
        <v/>
      </c>
      <c r="D145" t="str">
        <f>IF(INDEX(키움raw!A:A,2*ROW()-2)="","",INDEX(키움raw!B:B,2*ROW()-2))</f>
        <v/>
      </c>
      <c r="E145" t="str">
        <f>IF(INDEX(키움raw!A:A,2*ROW()-2)="","",INDEX(키움raw!D:D,2*ROW()-2)&amp;" "&amp;SUBSTITUTE(SUBSTITUTE(INDEX(키움raw!F:F,2*ROW()-3),"현금매수","장내매수"),"현금매도","장내매도"))</f>
        <v/>
      </c>
      <c r="F145" t="str">
        <f>IF(INDEX(키움raw!A:A,2*ROW()-2)="","",INDEX(키움raw!E:E,2*ROW()-2))</f>
        <v/>
      </c>
      <c r="G145" t="str">
        <f>IF(INDEX(키움raw!A:A,2*ROW()-2)="","",INDEX(키움raw!F:F,2*ROW()-2))</f>
        <v/>
      </c>
      <c r="X145" t="str">
        <f>IF(INDEX(키움raw!A:A,2*ROW()-2)="","",TEXT(INDEX(키움raw!D:D,2*ROW()-3),"000000"))</f>
        <v/>
      </c>
      <c r="AA145" t="str">
        <f>IF(INDEX(키움raw!A:A,2*ROW()-2)="","",INDEX(키움raw!A:A,2*ROW()-2))</f>
        <v/>
      </c>
    </row>
    <row r="146" spans="1:27" x14ac:dyDescent="0.3">
      <c r="A146" t="str">
        <f>IF(INDEX(키움raw!A:A,2*ROW()-2)="","",$B$1)</f>
        <v/>
      </c>
      <c r="B146" t="str">
        <f>IF(INDEX(키움raw!A:A,2*ROW()-2)="","",INDEX(키움raw!A:A,2*ROW()-2))</f>
        <v/>
      </c>
      <c r="C146" t="str">
        <f>IF(INDEX(키움raw!A:A,2*ROW()-2)="","",INDEX(키움raw!K:K,2*ROW()-2))</f>
        <v/>
      </c>
      <c r="D146" t="str">
        <f>IF(INDEX(키움raw!A:A,2*ROW()-2)="","",INDEX(키움raw!B:B,2*ROW()-2))</f>
        <v/>
      </c>
      <c r="E146" t="str">
        <f>IF(INDEX(키움raw!A:A,2*ROW()-2)="","",INDEX(키움raw!D:D,2*ROW()-2)&amp;" "&amp;SUBSTITUTE(SUBSTITUTE(INDEX(키움raw!F:F,2*ROW()-3),"현금매수","장내매수"),"현금매도","장내매도"))</f>
        <v/>
      </c>
      <c r="F146" t="str">
        <f>IF(INDEX(키움raw!A:A,2*ROW()-2)="","",INDEX(키움raw!E:E,2*ROW()-2))</f>
        <v/>
      </c>
      <c r="G146" t="str">
        <f>IF(INDEX(키움raw!A:A,2*ROW()-2)="","",INDEX(키움raw!F:F,2*ROW()-2))</f>
        <v/>
      </c>
      <c r="X146" t="str">
        <f>IF(INDEX(키움raw!A:A,2*ROW()-2)="","",TEXT(INDEX(키움raw!D:D,2*ROW()-3),"000000"))</f>
        <v/>
      </c>
      <c r="AA146" t="str">
        <f>IF(INDEX(키움raw!A:A,2*ROW()-2)="","",INDEX(키움raw!A:A,2*ROW()-2))</f>
        <v/>
      </c>
    </row>
    <row r="147" spans="1:27" x14ac:dyDescent="0.3">
      <c r="A147" t="str">
        <f>IF(INDEX(키움raw!A:A,2*ROW()-2)="","",$B$1)</f>
        <v/>
      </c>
      <c r="B147" t="str">
        <f>IF(INDEX(키움raw!A:A,2*ROW()-2)="","",INDEX(키움raw!A:A,2*ROW()-2))</f>
        <v/>
      </c>
      <c r="C147" t="str">
        <f>IF(INDEX(키움raw!A:A,2*ROW()-2)="","",INDEX(키움raw!K:K,2*ROW()-2))</f>
        <v/>
      </c>
      <c r="D147" t="str">
        <f>IF(INDEX(키움raw!A:A,2*ROW()-2)="","",INDEX(키움raw!B:B,2*ROW()-2))</f>
        <v/>
      </c>
      <c r="E147" t="str">
        <f>IF(INDEX(키움raw!A:A,2*ROW()-2)="","",INDEX(키움raw!D:D,2*ROW()-2)&amp;" "&amp;SUBSTITUTE(SUBSTITUTE(INDEX(키움raw!F:F,2*ROW()-3),"현금매수","장내매수"),"현금매도","장내매도"))</f>
        <v/>
      </c>
      <c r="F147" t="str">
        <f>IF(INDEX(키움raw!A:A,2*ROW()-2)="","",INDEX(키움raw!E:E,2*ROW()-2))</f>
        <v/>
      </c>
      <c r="G147" t="str">
        <f>IF(INDEX(키움raw!A:A,2*ROW()-2)="","",INDEX(키움raw!F:F,2*ROW()-2))</f>
        <v/>
      </c>
      <c r="X147" t="str">
        <f>IF(INDEX(키움raw!A:A,2*ROW()-2)="","",TEXT(INDEX(키움raw!D:D,2*ROW()-3),"000000"))</f>
        <v/>
      </c>
      <c r="AA147" t="str">
        <f>IF(INDEX(키움raw!A:A,2*ROW()-2)="","",INDEX(키움raw!A:A,2*ROW()-2))</f>
        <v/>
      </c>
    </row>
    <row r="148" spans="1:27" x14ac:dyDescent="0.3">
      <c r="A148" t="str">
        <f>IF(INDEX(키움raw!A:A,2*ROW()-2)="","",$B$1)</f>
        <v/>
      </c>
      <c r="B148" t="str">
        <f>IF(INDEX(키움raw!A:A,2*ROW()-2)="","",INDEX(키움raw!A:A,2*ROW()-2))</f>
        <v/>
      </c>
      <c r="C148" t="str">
        <f>IF(INDEX(키움raw!A:A,2*ROW()-2)="","",INDEX(키움raw!K:K,2*ROW()-2))</f>
        <v/>
      </c>
      <c r="D148" t="str">
        <f>IF(INDEX(키움raw!A:A,2*ROW()-2)="","",INDEX(키움raw!B:B,2*ROW()-2))</f>
        <v/>
      </c>
      <c r="E148" t="str">
        <f>IF(INDEX(키움raw!A:A,2*ROW()-2)="","",INDEX(키움raw!D:D,2*ROW()-2)&amp;" "&amp;SUBSTITUTE(SUBSTITUTE(INDEX(키움raw!F:F,2*ROW()-3),"현금매수","장내매수"),"현금매도","장내매도"))</f>
        <v/>
      </c>
      <c r="F148" t="str">
        <f>IF(INDEX(키움raw!A:A,2*ROW()-2)="","",INDEX(키움raw!E:E,2*ROW()-2))</f>
        <v/>
      </c>
      <c r="G148" t="str">
        <f>IF(INDEX(키움raw!A:A,2*ROW()-2)="","",INDEX(키움raw!F:F,2*ROW()-2))</f>
        <v/>
      </c>
      <c r="X148" t="str">
        <f>IF(INDEX(키움raw!A:A,2*ROW()-2)="","",TEXT(INDEX(키움raw!D:D,2*ROW()-3),"000000"))</f>
        <v/>
      </c>
      <c r="AA148" t="str">
        <f>IF(INDEX(키움raw!A:A,2*ROW()-2)="","",INDEX(키움raw!A:A,2*ROW()-2))</f>
        <v/>
      </c>
    </row>
    <row r="149" spans="1:27" x14ac:dyDescent="0.3">
      <c r="A149" t="str">
        <f>IF(INDEX(키움raw!A:A,2*ROW()-2)="","",$B$1)</f>
        <v/>
      </c>
      <c r="B149" t="str">
        <f>IF(INDEX(키움raw!A:A,2*ROW()-2)="","",INDEX(키움raw!A:A,2*ROW()-2))</f>
        <v/>
      </c>
      <c r="C149" t="str">
        <f>IF(INDEX(키움raw!A:A,2*ROW()-2)="","",INDEX(키움raw!K:K,2*ROW()-2))</f>
        <v/>
      </c>
      <c r="D149" t="str">
        <f>IF(INDEX(키움raw!A:A,2*ROW()-2)="","",INDEX(키움raw!B:B,2*ROW()-2))</f>
        <v/>
      </c>
      <c r="E149" t="str">
        <f>IF(INDEX(키움raw!A:A,2*ROW()-2)="","",INDEX(키움raw!D:D,2*ROW()-2)&amp;" "&amp;SUBSTITUTE(SUBSTITUTE(INDEX(키움raw!F:F,2*ROW()-3),"현금매수","장내매수"),"현금매도","장내매도"))</f>
        <v/>
      </c>
      <c r="F149" t="str">
        <f>IF(INDEX(키움raw!A:A,2*ROW()-2)="","",INDEX(키움raw!E:E,2*ROW()-2))</f>
        <v/>
      </c>
      <c r="G149" t="str">
        <f>IF(INDEX(키움raw!A:A,2*ROW()-2)="","",INDEX(키움raw!F:F,2*ROW()-2))</f>
        <v/>
      </c>
      <c r="X149" t="str">
        <f>IF(INDEX(키움raw!A:A,2*ROW()-2)="","",TEXT(INDEX(키움raw!D:D,2*ROW()-3),"000000"))</f>
        <v/>
      </c>
      <c r="AA149" t="str">
        <f>IF(INDEX(키움raw!A:A,2*ROW()-2)="","",INDEX(키움raw!A:A,2*ROW()-2))</f>
        <v/>
      </c>
    </row>
    <row r="150" spans="1:27" x14ac:dyDescent="0.3">
      <c r="A150" t="str">
        <f>IF(INDEX(키움raw!A:A,2*ROW()-2)="","",$B$1)</f>
        <v/>
      </c>
      <c r="B150" t="str">
        <f>IF(INDEX(키움raw!A:A,2*ROW()-2)="","",INDEX(키움raw!A:A,2*ROW()-2))</f>
        <v/>
      </c>
      <c r="C150" t="str">
        <f>IF(INDEX(키움raw!A:A,2*ROW()-2)="","",INDEX(키움raw!K:K,2*ROW()-2))</f>
        <v/>
      </c>
      <c r="D150" t="str">
        <f>IF(INDEX(키움raw!A:A,2*ROW()-2)="","",INDEX(키움raw!B:B,2*ROW()-2))</f>
        <v/>
      </c>
      <c r="E150" t="str">
        <f>IF(INDEX(키움raw!A:A,2*ROW()-2)="","",INDEX(키움raw!D:D,2*ROW()-2)&amp;" "&amp;SUBSTITUTE(SUBSTITUTE(INDEX(키움raw!F:F,2*ROW()-3),"현금매수","장내매수"),"현금매도","장내매도"))</f>
        <v/>
      </c>
      <c r="F150" t="str">
        <f>IF(INDEX(키움raw!A:A,2*ROW()-2)="","",INDEX(키움raw!E:E,2*ROW()-2))</f>
        <v/>
      </c>
      <c r="G150" t="str">
        <f>IF(INDEX(키움raw!A:A,2*ROW()-2)="","",INDEX(키움raw!F:F,2*ROW()-2))</f>
        <v/>
      </c>
      <c r="X150" t="str">
        <f>IF(INDEX(키움raw!A:A,2*ROW()-2)="","",TEXT(INDEX(키움raw!D:D,2*ROW()-3),"000000"))</f>
        <v/>
      </c>
      <c r="AA150" t="str">
        <f>IF(INDEX(키움raw!A:A,2*ROW()-2)="","",INDEX(키움raw!A:A,2*ROW()-2))</f>
        <v/>
      </c>
    </row>
    <row r="151" spans="1:27" x14ac:dyDescent="0.3">
      <c r="A151" t="str">
        <f>IF(INDEX(키움raw!A:A,2*ROW()-2)="","",$B$1)</f>
        <v/>
      </c>
      <c r="B151" t="str">
        <f>IF(INDEX(키움raw!A:A,2*ROW()-2)="","",INDEX(키움raw!A:A,2*ROW()-2))</f>
        <v/>
      </c>
      <c r="C151" t="str">
        <f>IF(INDEX(키움raw!A:A,2*ROW()-2)="","",INDEX(키움raw!K:K,2*ROW()-2))</f>
        <v/>
      </c>
      <c r="D151" t="str">
        <f>IF(INDEX(키움raw!A:A,2*ROW()-2)="","",INDEX(키움raw!B:B,2*ROW()-2))</f>
        <v/>
      </c>
      <c r="E151" t="str">
        <f>IF(INDEX(키움raw!A:A,2*ROW()-2)="","",INDEX(키움raw!D:D,2*ROW()-2)&amp;" "&amp;SUBSTITUTE(SUBSTITUTE(INDEX(키움raw!F:F,2*ROW()-3),"현금매수","장내매수"),"현금매도","장내매도"))</f>
        <v/>
      </c>
      <c r="F151" t="str">
        <f>IF(INDEX(키움raw!A:A,2*ROW()-2)="","",INDEX(키움raw!E:E,2*ROW()-2))</f>
        <v/>
      </c>
      <c r="G151" t="str">
        <f>IF(INDEX(키움raw!A:A,2*ROW()-2)="","",INDEX(키움raw!F:F,2*ROW()-2))</f>
        <v/>
      </c>
      <c r="X151" t="str">
        <f>IF(INDEX(키움raw!A:A,2*ROW()-2)="","",TEXT(INDEX(키움raw!D:D,2*ROW()-3),"000000"))</f>
        <v/>
      </c>
      <c r="AA151" t="str">
        <f>IF(INDEX(키움raw!A:A,2*ROW()-2)="","",INDEX(키움raw!A:A,2*ROW()-2))</f>
        <v/>
      </c>
    </row>
    <row r="152" spans="1:27" x14ac:dyDescent="0.3">
      <c r="A152" t="str">
        <f>IF(INDEX(키움raw!A:A,2*ROW()-2)="","",$B$1)</f>
        <v/>
      </c>
      <c r="B152" t="str">
        <f>IF(INDEX(키움raw!A:A,2*ROW()-2)="","",INDEX(키움raw!A:A,2*ROW()-2))</f>
        <v/>
      </c>
      <c r="C152" t="str">
        <f>IF(INDEX(키움raw!A:A,2*ROW()-2)="","",INDEX(키움raw!K:K,2*ROW()-2))</f>
        <v/>
      </c>
      <c r="D152" t="str">
        <f>IF(INDEX(키움raw!A:A,2*ROW()-2)="","",INDEX(키움raw!B:B,2*ROW()-2))</f>
        <v/>
      </c>
      <c r="E152" t="str">
        <f>IF(INDEX(키움raw!A:A,2*ROW()-2)="","",INDEX(키움raw!D:D,2*ROW()-2)&amp;" "&amp;SUBSTITUTE(SUBSTITUTE(INDEX(키움raw!F:F,2*ROW()-3),"현금매수","장내매수"),"현금매도","장내매도"))</f>
        <v/>
      </c>
      <c r="F152" t="str">
        <f>IF(INDEX(키움raw!A:A,2*ROW()-2)="","",INDEX(키움raw!E:E,2*ROW()-2))</f>
        <v/>
      </c>
      <c r="G152" t="str">
        <f>IF(INDEX(키움raw!A:A,2*ROW()-2)="","",INDEX(키움raw!F:F,2*ROW()-2))</f>
        <v/>
      </c>
      <c r="X152" t="str">
        <f>IF(INDEX(키움raw!A:A,2*ROW()-2)="","",TEXT(INDEX(키움raw!D:D,2*ROW()-3),"000000"))</f>
        <v/>
      </c>
      <c r="AA152" t="str">
        <f>IF(INDEX(키움raw!A:A,2*ROW()-2)="","",INDEX(키움raw!A:A,2*ROW()-2))</f>
        <v/>
      </c>
    </row>
    <row r="153" spans="1:27" x14ac:dyDescent="0.3">
      <c r="A153" t="str">
        <f>IF(INDEX(키움raw!A:A,2*ROW()-2)="","",$B$1)</f>
        <v/>
      </c>
      <c r="B153" t="str">
        <f>IF(INDEX(키움raw!A:A,2*ROW()-2)="","",INDEX(키움raw!A:A,2*ROW()-2))</f>
        <v/>
      </c>
      <c r="C153" t="str">
        <f>IF(INDEX(키움raw!A:A,2*ROW()-2)="","",INDEX(키움raw!K:K,2*ROW()-2))</f>
        <v/>
      </c>
      <c r="D153" t="str">
        <f>IF(INDEX(키움raw!A:A,2*ROW()-2)="","",INDEX(키움raw!B:B,2*ROW()-2))</f>
        <v/>
      </c>
      <c r="E153" t="str">
        <f>IF(INDEX(키움raw!A:A,2*ROW()-2)="","",INDEX(키움raw!D:D,2*ROW()-2)&amp;" "&amp;SUBSTITUTE(SUBSTITUTE(INDEX(키움raw!F:F,2*ROW()-3),"현금매수","장내매수"),"현금매도","장내매도"))</f>
        <v/>
      </c>
      <c r="F153" t="str">
        <f>IF(INDEX(키움raw!A:A,2*ROW()-2)="","",INDEX(키움raw!E:E,2*ROW()-2))</f>
        <v/>
      </c>
      <c r="G153" t="str">
        <f>IF(INDEX(키움raw!A:A,2*ROW()-2)="","",INDEX(키움raw!F:F,2*ROW()-2))</f>
        <v/>
      </c>
      <c r="X153" t="str">
        <f>IF(INDEX(키움raw!A:A,2*ROW()-2)="","",TEXT(INDEX(키움raw!D:D,2*ROW()-3),"000000"))</f>
        <v/>
      </c>
      <c r="AA153" t="str">
        <f>IF(INDEX(키움raw!A:A,2*ROW()-2)="","",INDEX(키움raw!A:A,2*ROW()-2))</f>
        <v/>
      </c>
    </row>
    <row r="154" spans="1:27" x14ac:dyDescent="0.3">
      <c r="A154" t="str">
        <f>IF(INDEX(키움raw!A:A,2*ROW()-2)="","",$B$1)</f>
        <v/>
      </c>
      <c r="B154" t="str">
        <f>IF(INDEX(키움raw!A:A,2*ROW()-2)="","",INDEX(키움raw!A:A,2*ROW()-2))</f>
        <v/>
      </c>
      <c r="C154" t="str">
        <f>IF(INDEX(키움raw!A:A,2*ROW()-2)="","",INDEX(키움raw!K:K,2*ROW()-2))</f>
        <v/>
      </c>
      <c r="D154" t="str">
        <f>IF(INDEX(키움raw!A:A,2*ROW()-2)="","",INDEX(키움raw!B:B,2*ROW()-2))</f>
        <v/>
      </c>
      <c r="E154" t="str">
        <f>IF(INDEX(키움raw!A:A,2*ROW()-2)="","",INDEX(키움raw!D:D,2*ROW()-2)&amp;" "&amp;SUBSTITUTE(SUBSTITUTE(INDEX(키움raw!F:F,2*ROW()-3),"현금매수","장내매수"),"현금매도","장내매도"))</f>
        <v/>
      </c>
      <c r="F154" t="str">
        <f>IF(INDEX(키움raw!A:A,2*ROW()-2)="","",INDEX(키움raw!E:E,2*ROW()-2))</f>
        <v/>
      </c>
      <c r="G154" t="str">
        <f>IF(INDEX(키움raw!A:A,2*ROW()-2)="","",INDEX(키움raw!F:F,2*ROW()-2))</f>
        <v/>
      </c>
      <c r="X154" t="str">
        <f>IF(INDEX(키움raw!A:A,2*ROW()-2)="","",TEXT(INDEX(키움raw!D:D,2*ROW()-3),"000000"))</f>
        <v/>
      </c>
      <c r="AA154" t="str">
        <f>IF(INDEX(키움raw!A:A,2*ROW()-2)="","",INDEX(키움raw!A:A,2*ROW()-2))</f>
        <v/>
      </c>
    </row>
    <row r="155" spans="1:27" x14ac:dyDescent="0.3">
      <c r="A155" t="str">
        <f>IF(INDEX(키움raw!A:A,2*ROW()-2)="","",$B$1)</f>
        <v/>
      </c>
      <c r="B155" t="str">
        <f>IF(INDEX(키움raw!A:A,2*ROW()-2)="","",INDEX(키움raw!A:A,2*ROW()-2))</f>
        <v/>
      </c>
      <c r="C155" t="str">
        <f>IF(INDEX(키움raw!A:A,2*ROW()-2)="","",INDEX(키움raw!K:K,2*ROW()-2))</f>
        <v/>
      </c>
      <c r="D155" t="str">
        <f>IF(INDEX(키움raw!A:A,2*ROW()-2)="","",INDEX(키움raw!B:B,2*ROW()-2))</f>
        <v/>
      </c>
      <c r="E155" t="str">
        <f>IF(INDEX(키움raw!A:A,2*ROW()-2)="","",INDEX(키움raw!D:D,2*ROW()-2)&amp;" "&amp;SUBSTITUTE(SUBSTITUTE(INDEX(키움raw!F:F,2*ROW()-3),"현금매수","장내매수"),"현금매도","장내매도"))</f>
        <v/>
      </c>
      <c r="F155" t="str">
        <f>IF(INDEX(키움raw!A:A,2*ROW()-2)="","",INDEX(키움raw!E:E,2*ROW()-2))</f>
        <v/>
      </c>
      <c r="G155" t="str">
        <f>IF(INDEX(키움raw!A:A,2*ROW()-2)="","",INDEX(키움raw!F:F,2*ROW()-2))</f>
        <v/>
      </c>
      <c r="X155" t="str">
        <f>IF(INDEX(키움raw!A:A,2*ROW()-2)="","",TEXT(INDEX(키움raw!D:D,2*ROW()-3),"000000"))</f>
        <v/>
      </c>
      <c r="AA155" t="str">
        <f>IF(INDEX(키움raw!A:A,2*ROW()-2)="","",INDEX(키움raw!A:A,2*ROW()-2))</f>
        <v/>
      </c>
    </row>
    <row r="156" spans="1:27" x14ac:dyDescent="0.3">
      <c r="A156" t="str">
        <f>IF(INDEX(키움raw!A:A,2*ROW()-2)="","",$B$1)</f>
        <v/>
      </c>
      <c r="B156" t="str">
        <f>IF(INDEX(키움raw!A:A,2*ROW()-2)="","",INDEX(키움raw!A:A,2*ROW()-2))</f>
        <v/>
      </c>
      <c r="C156" t="str">
        <f>IF(INDEX(키움raw!A:A,2*ROW()-2)="","",INDEX(키움raw!K:K,2*ROW()-2))</f>
        <v/>
      </c>
      <c r="D156" t="str">
        <f>IF(INDEX(키움raw!A:A,2*ROW()-2)="","",INDEX(키움raw!B:B,2*ROW()-2))</f>
        <v/>
      </c>
      <c r="E156" t="str">
        <f>IF(INDEX(키움raw!A:A,2*ROW()-2)="","",INDEX(키움raw!D:D,2*ROW()-2)&amp;" "&amp;SUBSTITUTE(SUBSTITUTE(INDEX(키움raw!F:F,2*ROW()-3),"현금매수","장내매수"),"현금매도","장내매도"))</f>
        <v/>
      </c>
      <c r="F156" t="str">
        <f>IF(INDEX(키움raw!A:A,2*ROW()-2)="","",INDEX(키움raw!E:E,2*ROW()-2))</f>
        <v/>
      </c>
      <c r="G156" t="str">
        <f>IF(INDEX(키움raw!A:A,2*ROW()-2)="","",INDEX(키움raw!F:F,2*ROW()-2))</f>
        <v/>
      </c>
      <c r="X156" t="str">
        <f>IF(INDEX(키움raw!A:A,2*ROW()-2)="","",TEXT(INDEX(키움raw!D:D,2*ROW()-3),"000000"))</f>
        <v/>
      </c>
      <c r="AA156" t="str">
        <f>IF(INDEX(키움raw!A:A,2*ROW()-2)="","",INDEX(키움raw!A:A,2*ROW()-2))</f>
        <v/>
      </c>
    </row>
    <row r="157" spans="1:27" x14ac:dyDescent="0.3">
      <c r="A157" t="str">
        <f>IF(INDEX(키움raw!A:A,2*ROW()-2)="","",$B$1)</f>
        <v/>
      </c>
      <c r="B157" t="str">
        <f>IF(INDEX(키움raw!A:A,2*ROW()-2)="","",INDEX(키움raw!A:A,2*ROW()-2))</f>
        <v/>
      </c>
      <c r="C157" t="str">
        <f>IF(INDEX(키움raw!A:A,2*ROW()-2)="","",INDEX(키움raw!K:K,2*ROW()-2))</f>
        <v/>
      </c>
      <c r="D157" t="str">
        <f>IF(INDEX(키움raw!A:A,2*ROW()-2)="","",INDEX(키움raw!B:B,2*ROW()-2))</f>
        <v/>
      </c>
      <c r="E157" t="str">
        <f>IF(INDEX(키움raw!A:A,2*ROW()-2)="","",INDEX(키움raw!D:D,2*ROW()-2)&amp;" "&amp;SUBSTITUTE(SUBSTITUTE(INDEX(키움raw!F:F,2*ROW()-3),"현금매수","장내매수"),"현금매도","장내매도"))</f>
        <v/>
      </c>
      <c r="F157" t="str">
        <f>IF(INDEX(키움raw!A:A,2*ROW()-2)="","",INDEX(키움raw!E:E,2*ROW()-2))</f>
        <v/>
      </c>
      <c r="G157" t="str">
        <f>IF(INDEX(키움raw!A:A,2*ROW()-2)="","",INDEX(키움raw!F:F,2*ROW()-2))</f>
        <v/>
      </c>
      <c r="X157" t="str">
        <f>IF(INDEX(키움raw!A:A,2*ROW()-2)="","",TEXT(INDEX(키움raw!D:D,2*ROW()-3),"000000"))</f>
        <v/>
      </c>
      <c r="AA157" t="str">
        <f>IF(INDEX(키움raw!A:A,2*ROW()-2)="","",INDEX(키움raw!A:A,2*ROW()-2))</f>
        <v/>
      </c>
    </row>
    <row r="158" spans="1:27" x14ac:dyDescent="0.3">
      <c r="A158" t="str">
        <f>IF(INDEX(키움raw!A:A,2*ROW()-2)="","",$B$1)</f>
        <v/>
      </c>
      <c r="B158" t="str">
        <f>IF(INDEX(키움raw!A:A,2*ROW()-2)="","",INDEX(키움raw!A:A,2*ROW()-2))</f>
        <v/>
      </c>
      <c r="C158" t="str">
        <f>IF(INDEX(키움raw!A:A,2*ROW()-2)="","",INDEX(키움raw!K:K,2*ROW()-2))</f>
        <v/>
      </c>
      <c r="D158" t="str">
        <f>IF(INDEX(키움raw!A:A,2*ROW()-2)="","",INDEX(키움raw!B:B,2*ROW()-2))</f>
        <v/>
      </c>
      <c r="E158" t="str">
        <f>IF(INDEX(키움raw!A:A,2*ROW()-2)="","",INDEX(키움raw!D:D,2*ROW()-2)&amp;" "&amp;SUBSTITUTE(SUBSTITUTE(INDEX(키움raw!F:F,2*ROW()-3),"현금매수","장내매수"),"현금매도","장내매도"))</f>
        <v/>
      </c>
      <c r="F158" t="str">
        <f>IF(INDEX(키움raw!A:A,2*ROW()-2)="","",INDEX(키움raw!E:E,2*ROW()-2))</f>
        <v/>
      </c>
      <c r="G158" t="str">
        <f>IF(INDEX(키움raw!A:A,2*ROW()-2)="","",INDEX(키움raw!F:F,2*ROW()-2))</f>
        <v/>
      </c>
      <c r="X158" t="str">
        <f>IF(INDEX(키움raw!A:A,2*ROW()-2)="","",TEXT(INDEX(키움raw!D:D,2*ROW()-3),"000000"))</f>
        <v/>
      </c>
      <c r="AA158" t="str">
        <f>IF(INDEX(키움raw!A:A,2*ROW()-2)="","",INDEX(키움raw!A:A,2*ROW()-2))</f>
        <v/>
      </c>
    </row>
    <row r="159" spans="1:27" x14ac:dyDescent="0.3">
      <c r="A159" t="str">
        <f>IF(INDEX(키움raw!A:A,2*ROW()-2)="","",$B$1)</f>
        <v/>
      </c>
      <c r="B159" t="str">
        <f>IF(INDEX(키움raw!A:A,2*ROW()-2)="","",INDEX(키움raw!A:A,2*ROW()-2))</f>
        <v/>
      </c>
      <c r="C159" t="str">
        <f>IF(INDEX(키움raw!A:A,2*ROW()-2)="","",INDEX(키움raw!K:K,2*ROW()-2))</f>
        <v/>
      </c>
      <c r="D159" t="str">
        <f>IF(INDEX(키움raw!A:A,2*ROW()-2)="","",INDEX(키움raw!B:B,2*ROW()-2))</f>
        <v/>
      </c>
      <c r="E159" t="str">
        <f>IF(INDEX(키움raw!A:A,2*ROW()-2)="","",INDEX(키움raw!D:D,2*ROW()-2)&amp;" "&amp;SUBSTITUTE(SUBSTITUTE(INDEX(키움raw!F:F,2*ROW()-3),"현금매수","장내매수"),"현금매도","장내매도"))</f>
        <v/>
      </c>
      <c r="F159" t="str">
        <f>IF(INDEX(키움raw!A:A,2*ROW()-2)="","",INDEX(키움raw!E:E,2*ROW()-2))</f>
        <v/>
      </c>
      <c r="G159" t="str">
        <f>IF(INDEX(키움raw!A:A,2*ROW()-2)="","",INDEX(키움raw!F:F,2*ROW()-2))</f>
        <v/>
      </c>
      <c r="X159" t="str">
        <f>IF(INDEX(키움raw!A:A,2*ROW()-2)="","",TEXT(INDEX(키움raw!D:D,2*ROW()-3),"000000"))</f>
        <v/>
      </c>
      <c r="AA159" t="str">
        <f>IF(INDEX(키움raw!A:A,2*ROW()-2)="","",INDEX(키움raw!A:A,2*ROW()-2))</f>
        <v/>
      </c>
    </row>
    <row r="160" spans="1:27" x14ac:dyDescent="0.3">
      <c r="A160" t="str">
        <f>IF(INDEX(키움raw!A:A,2*ROW()-2)="","",$B$1)</f>
        <v/>
      </c>
      <c r="B160" t="str">
        <f>IF(INDEX(키움raw!A:A,2*ROW()-2)="","",INDEX(키움raw!A:A,2*ROW()-2))</f>
        <v/>
      </c>
      <c r="C160" t="str">
        <f>IF(INDEX(키움raw!A:A,2*ROW()-2)="","",INDEX(키움raw!K:K,2*ROW()-2))</f>
        <v/>
      </c>
      <c r="D160" t="str">
        <f>IF(INDEX(키움raw!A:A,2*ROW()-2)="","",INDEX(키움raw!B:B,2*ROW()-2))</f>
        <v/>
      </c>
      <c r="E160" t="str">
        <f>IF(INDEX(키움raw!A:A,2*ROW()-2)="","",INDEX(키움raw!D:D,2*ROW()-2)&amp;" "&amp;SUBSTITUTE(SUBSTITUTE(INDEX(키움raw!F:F,2*ROW()-3),"현금매수","장내매수"),"현금매도","장내매도"))</f>
        <v/>
      </c>
      <c r="F160" t="str">
        <f>IF(INDEX(키움raw!A:A,2*ROW()-2)="","",INDEX(키움raw!E:E,2*ROW()-2))</f>
        <v/>
      </c>
      <c r="G160" t="str">
        <f>IF(INDEX(키움raw!A:A,2*ROW()-2)="","",INDEX(키움raw!F:F,2*ROW()-2))</f>
        <v/>
      </c>
      <c r="X160" t="str">
        <f>IF(INDEX(키움raw!A:A,2*ROW()-2)="","",TEXT(INDEX(키움raw!D:D,2*ROW()-3),"000000"))</f>
        <v/>
      </c>
      <c r="AA160" t="str">
        <f>IF(INDEX(키움raw!A:A,2*ROW()-2)="","",INDEX(키움raw!A:A,2*ROW()-2))</f>
        <v/>
      </c>
    </row>
    <row r="161" spans="1:27" x14ac:dyDescent="0.3">
      <c r="A161" t="str">
        <f>IF(INDEX(키움raw!A:A,2*ROW()-2)="","",$B$1)</f>
        <v/>
      </c>
      <c r="B161" t="str">
        <f>IF(INDEX(키움raw!A:A,2*ROW()-2)="","",INDEX(키움raw!A:A,2*ROW()-2))</f>
        <v/>
      </c>
      <c r="C161" t="str">
        <f>IF(INDEX(키움raw!A:A,2*ROW()-2)="","",INDEX(키움raw!K:K,2*ROW()-2))</f>
        <v/>
      </c>
      <c r="D161" t="str">
        <f>IF(INDEX(키움raw!A:A,2*ROW()-2)="","",INDEX(키움raw!B:B,2*ROW()-2))</f>
        <v/>
      </c>
      <c r="E161" t="str">
        <f>IF(INDEX(키움raw!A:A,2*ROW()-2)="","",INDEX(키움raw!D:D,2*ROW()-2)&amp;" "&amp;SUBSTITUTE(SUBSTITUTE(INDEX(키움raw!F:F,2*ROW()-3),"현금매수","장내매수"),"현금매도","장내매도"))</f>
        <v/>
      </c>
      <c r="F161" t="str">
        <f>IF(INDEX(키움raw!A:A,2*ROW()-2)="","",INDEX(키움raw!E:E,2*ROW()-2))</f>
        <v/>
      </c>
      <c r="G161" t="str">
        <f>IF(INDEX(키움raw!A:A,2*ROW()-2)="","",INDEX(키움raw!F:F,2*ROW()-2))</f>
        <v/>
      </c>
      <c r="X161" t="str">
        <f>IF(INDEX(키움raw!A:A,2*ROW()-2)="","",TEXT(INDEX(키움raw!D:D,2*ROW()-3),"000000"))</f>
        <v/>
      </c>
      <c r="AA161" t="str">
        <f>IF(INDEX(키움raw!A:A,2*ROW()-2)="","",INDEX(키움raw!A:A,2*ROW()-2))</f>
        <v/>
      </c>
    </row>
    <row r="162" spans="1:27" x14ac:dyDescent="0.3">
      <c r="A162" t="str">
        <f>IF(INDEX(키움raw!A:A,2*ROW()-2)="","",$B$1)</f>
        <v/>
      </c>
      <c r="B162" t="str">
        <f>IF(INDEX(키움raw!A:A,2*ROW()-2)="","",INDEX(키움raw!A:A,2*ROW()-2))</f>
        <v/>
      </c>
      <c r="C162" t="str">
        <f>IF(INDEX(키움raw!A:A,2*ROW()-2)="","",INDEX(키움raw!K:K,2*ROW()-2))</f>
        <v/>
      </c>
      <c r="D162" t="str">
        <f>IF(INDEX(키움raw!A:A,2*ROW()-2)="","",INDEX(키움raw!B:B,2*ROW()-2))</f>
        <v/>
      </c>
      <c r="E162" t="str">
        <f>IF(INDEX(키움raw!A:A,2*ROW()-2)="","",INDEX(키움raw!D:D,2*ROW()-2)&amp;" "&amp;SUBSTITUTE(SUBSTITUTE(INDEX(키움raw!F:F,2*ROW()-3),"현금매수","장내매수"),"현금매도","장내매도"))</f>
        <v/>
      </c>
      <c r="F162" t="str">
        <f>IF(INDEX(키움raw!A:A,2*ROW()-2)="","",INDEX(키움raw!E:E,2*ROW()-2))</f>
        <v/>
      </c>
      <c r="G162" t="str">
        <f>IF(INDEX(키움raw!A:A,2*ROW()-2)="","",INDEX(키움raw!F:F,2*ROW()-2))</f>
        <v/>
      </c>
      <c r="X162" t="str">
        <f>IF(INDEX(키움raw!A:A,2*ROW()-2)="","",TEXT(INDEX(키움raw!D:D,2*ROW()-3),"000000"))</f>
        <v/>
      </c>
      <c r="AA162" t="str">
        <f>IF(INDEX(키움raw!A:A,2*ROW()-2)="","",INDEX(키움raw!A:A,2*ROW()-2))</f>
        <v/>
      </c>
    </row>
    <row r="163" spans="1:27" x14ac:dyDescent="0.3">
      <c r="A163" t="str">
        <f>IF(INDEX(키움raw!A:A,2*ROW()-2)="","",$B$1)</f>
        <v/>
      </c>
      <c r="B163" t="str">
        <f>IF(INDEX(키움raw!A:A,2*ROW()-2)="","",INDEX(키움raw!A:A,2*ROW()-2))</f>
        <v/>
      </c>
      <c r="C163" t="str">
        <f>IF(INDEX(키움raw!A:A,2*ROW()-2)="","",INDEX(키움raw!K:K,2*ROW()-2))</f>
        <v/>
      </c>
      <c r="D163" t="str">
        <f>IF(INDEX(키움raw!A:A,2*ROW()-2)="","",INDEX(키움raw!B:B,2*ROW()-2))</f>
        <v/>
      </c>
      <c r="E163" t="str">
        <f>IF(INDEX(키움raw!A:A,2*ROW()-2)="","",INDEX(키움raw!D:D,2*ROW()-2)&amp;" "&amp;SUBSTITUTE(SUBSTITUTE(INDEX(키움raw!F:F,2*ROW()-3),"현금매수","장내매수"),"현금매도","장내매도"))</f>
        <v/>
      </c>
      <c r="F163" t="str">
        <f>IF(INDEX(키움raw!A:A,2*ROW()-2)="","",INDEX(키움raw!E:E,2*ROW()-2))</f>
        <v/>
      </c>
      <c r="G163" t="str">
        <f>IF(INDEX(키움raw!A:A,2*ROW()-2)="","",INDEX(키움raw!F:F,2*ROW()-2))</f>
        <v/>
      </c>
      <c r="X163" t="str">
        <f>IF(INDEX(키움raw!A:A,2*ROW()-2)="","",TEXT(INDEX(키움raw!D:D,2*ROW()-3),"000000"))</f>
        <v/>
      </c>
      <c r="AA163" t="str">
        <f>IF(INDEX(키움raw!A:A,2*ROW()-2)="","",INDEX(키움raw!A:A,2*ROW()-2))</f>
        <v/>
      </c>
    </row>
    <row r="164" spans="1:27" x14ac:dyDescent="0.3">
      <c r="A164" t="str">
        <f>IF(INDEX(키움raw!A:A,2*ROW()-2)="","",$B$1)</f>
        <v/>
      </c>
      <c r="B164" t="str">
        <f>IF(INDEX(키움raw!A:A,2*ROW()-2)="","",INDEX(키움raw!A:A,2*ROW()-2))</f>
        <v/>
      </c>
      <c r="C164" t="str">
        <f>IF(INDEX(키움raw!A:A,2*ROW()-2)="","",INDEX(키움raw!K:K,2*ROW()-2))</f>
        <v/>
      </c>
      <c r="D164" t="str">
        <f>IF(INDEX(키움raw!A:A,2*ROW()-2)="","",INDEX(키움raw!B:B,2*ROW()-2))</f>
        <v/>
      </c>
      <c r="E164" t="str">
        <f>IF(INDEX(키움raw!A:A,2*ROW()-2)="","",INDEX(키움raw!D:D,2*ROW()-2)&amp;" "&amp;SUBSTITUTE(SUBSTITUTE(INDEX(키움raw!F:F,2*ROW()-3),"현금매수","장내매수"),"현금매도","장내매도"))</f>
        <v/>
      </c>
      <c r="F164" t="str">
        <f>IF(INDEX(키움raw!A:A,2*ROW()-2)="","",INDEX(키움raw!E:E,2*ROW()-2))</f>
        <v/>
      </c>
      <c r="G164" t="str">
        <f>IF(INDEX(키움raw!A:A,2*ROW()-2)="","",INDEX(키움raw!F:F,2*ROW()-2))</f>
        <v/>
      </c>
      <c r="X164" t="str">
        <f>IF(INDEX(키움raw!A:A,2*ROW()-2)="","",TEXT(INDEX(키움raw!D:D,2*ROW()-3),"000000"))</f>
        <v/>
      </c>
      <c r="AA164" t="str">
        <f>IF(INDEX(키움raw!A:A,2*ROW()-2)="","",INDEX(키움raw!A:A,2*ROW()-2))</f>
        <v/>
      </c>
    </row>
    <row r="165" spans="1:27" x14ac:dyDescent="0.3">
      <c r="A165" t="str">
        <f>IF(INDEX(키움raw!A:A,2*ROW()-2)="","",$B$1)</f>
        <v/>
      </c>
      <c r="B165" t="str">
        <f>IF(INDEX(키움raw!A:A,2*ROW()-2)="","",INDEX(키움raw!A:A,2*ROW()-2))</f>
        <v/>
      </c>
      <c r="C165" t="str">
        <f>IF(INDEX(키움raw!A:A,2*ROW()-2)="","",INDEX(키움raw!K:K,2*ROW()-2))</f>
        <v/>
      </c>
      <c r="D165" t="str">
        <f>IF(INDEX(키움raw!A:A,2*ROW()-2)="","",INDEX(키움raw!B:B,2*ROW()-2))</f>
        <v/>
      </c>
      <c r="E165" t="str">
        <f>IF(INDEX(키움raw!A:A,2*ROW()-2)="","",INDEX(키움raw!D:D,2*ROW()-2)&amp;" "&amp;SUBSTITUTE(SUBSTITUTE(INDEX(키움raw!F:F,2*ROW()-3),"현금매수","장내매수"),"현금매도","장내매도"))</f>
        <v/>
      </c>
      <c r="F165" t="str">
        <f>IF(INDEX(키움raw!A:A,2*ROW()-2)="","",INDEX(키움raw!E:E,2*ROW()-2))</f>
        <v/>
      </c>
      <c r="G165" t="str">
        <f>IF(INDEX(키움raw!A:A,2*ROW()-2)="","",INDEX(키움raw!F:F,2*ROW()-2))</f>
        <v/>
      </c>
      <c r="X165" t="str">
        <f>IF(INDEX(키움raw!A:A,2*ROW()-2)="","",TEXT(INDEX(키움raw!D:D,2*ROW()-3),"000000"))</f>
        <v/>
      </c>
      <c r="AA165" t="str">
        <f>IF(INDEX(키움raw!A:A,2*ROW()-2)="","",INDEX(키움raw!A:A,2*ROW()-2))</f>
        <v/>
      </c>
    </row>
    <row r="166" spans="1:27" x14ac:dyDescent="0.3">
      <c r="A166" t="str">
        <f>IF(INDEX(키움raw!A:A,2*ROW()-2)="","",$B$1)</f>
        <v/>
      </c>
      <c r="B166" t="str">
        <f>IF(INDEX(키움raw!A:A,2*ROW()-2)="","",INDEX(키움raw!A:A,2*ROW()-2))</f>
        <v/>
      </c>
      <c r="C166" t="str">
        <f>IF(INDEX(키움raw!A:A,2*ROW()-2)="","",INDEX(키움raw!K:K,2*ROW()-2))</f>
        <v/>
      </c>
      <c r="D166" t="str">
        <f>IF(INDEX(키움raw!A:A,2*ROW()-2)="","",INDEX(키움raw!B:B,2*ROW()-2))</f>
        <v/>
      </c>
      <c r="E166" t="str">
        <f>IF(INDEX(키움raw!A:A,2*ROW()-2)="","",INDEX(키움raw!D:D,2*ROW()-2)&amp;" "&amp;SUBSTITUTE(SUBSTITUTE(INDEX(키움raw!F:F,2*ROW()-3),"현금매수","장내매수"),"현금매도","장내매도"))</f>
        <v/>
      </c>
      <c r="F166" t="str">
        <f>IF(INDEX(키움raw!A:A,2*ROW()-2)="","",INDEX(키움raw!E:E,2*ROW()-2))</f>
        <v/>
      </c>
      <c r="G166" t="str">
        <f>IF(INDEX(키움raw!A:A,2*ROW()-2)="","",INDEX(키움raw!F:F,2*ROW()-2))</f>
        <v/>
      </c>
      <c r="X166" t="str">
        <f>IF(INDEX(키움raw!A:A,2*ROW()-2)="","",TEXT(INDEX(키움raw!D:D,2*ROW()-3),"000000"))</f>
        <v/>
      </c>
      <c r="AA166" t="str">
        <f>IF(INDEX(키움raw!A:A,2*ROW()-2)="","",INDEX(키움raw!A:A,2*ROW()-2))</f>
        <v/>
      </c>
    </row>
    <row r="167" spans="1:27" x14ac:dyDescent="0.3">
      <c r="A167" t="str">
        <f>IF(INDEX(키움raw!A:A,2*ROW()-2)="","",$B$1)</f>
        <v/>
      </c>
      <c r="B167" t="str">
        <f>IF(INDEX(키움raw!A:A,2*ROW()-2)="","",INDEX(키움raw!A:A,2*ROW()-2))</f>
        <v/>
      </c>
      <c r="C167" t="str">
        <f>IF(INDEX(키움raw!A:A,2*ROW()-2)="","",INDEX(키움raw!K:K,2*ROW()-2))</f>
        <v/>
      </c>
      <c r="D167" t="str">
        <f>IF(INDEX(키움raw!A:A,2*ROW()-2)="","",INDEX(키움raw!B:B,2*ROW()-2))</f>
        <v/>
      </c>
      <c r="E167" t="str">
        <f>IF(INDEX(키움raw!A:A,2*ROW()-2)="","",INDEX(키움raw!D:D,2*ROW()-2)&amp;" "&amp;SUBSTITUTE(SUBSTITUTE(INDEX(키움raw!F:F,2*ROW()-3),"현금매수","장내매수"),"현금매도","장내매도"))</f>
        <v/>
      </c>
      <c r="F167" t="str">
        <f>IF(INDEX(키움raw!A:A,2*ROW()-2)="","",INDEX(키움raw!E:E,2*ROW()-2))</f>
        <v/>
      </c>
      <c r="G167" t="str">
        <f>IF(INDEX(키움raw!A:A,2*ROW()-2)="","",INDEX(키움raw!F:F,2*ROW()-2))</f>
        <v/>
      </c>
      <c r="X167" t="str">
        <f>IF(INDEX(키움raw!A:A,2*ROW()-2)="","",TEXT(INDEX(키움raw!D:D,2*ROW()-3),"000000"))</f>
        <v/>
      </c>
      <c r="AA167" t="str">
        <f>IF(INDEX(키움raw!A:A,2*ROW()-2)="","",INDEX(키움raw!A:A,2*ROW()-2))</f>
        <v/>
      </c>
    </row>
    <row r="168" spans="1:27" x14ac:dyDescent="0.3">
      <c r="A168" t="str">
        <f>IF(INDEX(키움raw!A:A,2*ROW()-2)="","",$B$1)</f>
        <v/>
      </c>
      <c r="B168" t="str">
        <f>IF(INDEX(키움raw!A:A,2*ROW()-2)="","",INDEX(키움raw!A:A,2*ROW()-2))</f>
        <v/>
      </c>
      <c r="C168" t="str">
        <f>IF(INDEX(키움raw!A:A,2*ROW()-2)="","",INDEX(키움raw!K:K,2*ROW()-2))</f>
        <v/>
      </c>
      <c r="D168" t="str">
        <f>IF(INDEX(키움raw!A:A,2*ROW()-2)="","",INDEX(키움raw!B:B,2*ROW()-2))</f>
        <v/>
      </c>
      <c r="E168" t="str">
        <f>IF(INDEX(키움raw!A:A,2*ROW()-2)="","",INDEX(키움raw!D:D,2*ROW()-2)&amp;" "&amp;SUBSTITUTE(SUBSTITUTE(INDEX(키움raw!F:F,2*ROW()-3),"현금매수","장내매수"),"현금매도","장내매도"))</f>
        <v/>
      </c>
      <c r="F168" t="str">
        <f>IF(INDEX(키움raw!A:A,2*ROW()-2)="","",INDEX(키움raw!E:E,2*ROW()-2))</f>
        <v/>
      </c>
      <c r="G168" t="str">
        <f>IF(INDEX(키움raw!A:A,2*ROW()-2)="","",INDEX(키움raw!F:F,2*ROW()-2))</f>
        <v/>
      </c>
      <c r="X168" t="str">
        <f>IF(INDEX(키움raw!A:A,2*ROW()-2)="","",TEXT(INDEX(키움raw!D:D,2*ROW()-3),"000000"))</f>
        <v/>
      </c>
      <c r="AA168" t="str">
        <f>IF(INDEX(키움raw!A:A,2*ROW()-2)="","",INDEX(키움raw!A:A,2*ROW()-2))</f>
        <v/>
      </c>
    </row>
    <row r="169" spans="1:27" x14ac:dyDescent="0.3">
      <c r="A169" t="str">
        <f>IF(INDEX(키움raw!A:A,2*ROW()-2)="","",$B$1)</f>
        <v/>
      </c>
      <c r="B169" t="str">
        <f>IF(INDEX(키움raw!A:A,2*ROW()-2)="","",INDEX(키움raw!A:A,2*ROW()-2))</f>
        <v/>
      </c>
      <c r="C169" t="str">
        <f>IF(INDEX(키움raw!A:A,2*ROW()-2)="","",INDEX(키움raw!K:K,2*ROW()-2))</f>
        <v/>
      </c>
      <c r="D169" t="str">
        <f>IF(INDEX(키움raw!A:A,2*ROW()-2)="","",INDEX(키움raw!B:B,2*ROW()-2))</f>
        <v/>
      </c>
      <c r="E169" t="str">
        <f>IF(INDEX(키움raw!A:A,2*ROW()-2)="","",INDEX(키움raw!D:D,2*ROW()-2)&amp;" "&amp;SUBSTITUTE(SUBSTITUTE(INDEX(키움raw!F:F,2*ROW()-3),"현금매수","장내매수"),"현금매도","장내매도"))</f>
        <v/>
      </c>
      <c r="F169" t="str">
        <f>IF(INDEX(키움raw!A:A,2*ROW()-2)="","",INDEX(키움raw!E:E,2*ROW()-2))</f>
        <v/>
      </c>
      <c r="G169" t="str">
        <f>IF(INDEX(키움raw!A:A,2*ROW()-2)="","",INDEX(키움raw!F:F,2*ROW()-2))</f>
        <v/>
      </c>
      <c r="X169" t="str">
        <f>IF(INDEX(키움raw!A:A,2*ROW()-2)="","",TEXT(INDEX(키움raw!D:D,2*ROW()-3),"000000"))</f>
        <v/>
      </c>
      <c r="AA169" t="str">
        <f>IF(INDEX(키움raw!A:A,2*ROW()-2)="","",INDEX(키움raw!A:A,2*ROW()-2))</f>
        <v/>
      </c>
    </row>
    <row r="170" spans="1:27" x14ac:dyDescent="0.3">
      <c r="A170" t="str">
        <f>IF(INDEX(키움raw!A:A,2*ROW()-2)="","",$B$1)</f>
        <v/>
      </c>
      <c r="B170" t="str">
        <f>IF(INDEX(키움raw!A:A,2*ROW()-2)="","",INDEX(키움raw!A:A,2*ROW()-2))</f>
        <v/>
      </c>
      <c r="C170" t="str">
        <f>IF(INDEX(키움raw!A:A,2*ROW()-2)="","",INDEX(키움raw!K:K,2*ROW()-2))</f>
        <v/>
      </c>
      <c r="D170" t="str">
        <f>IF(INDEX(키움raw!A:A,2*ROW()-2)="","",INDEX(키움raw!B:B,2*ROW()-2))</f>
        <v/>
      </c>
      <c r="E170" t="str">
        <f>IF(INDEX(키움raw!A:A,2*ROW()-2)="","",INDEX(키움raw!D:D,2*ROW()-2)&amp;" "&amp;SUBSTITUTE(SUBSTITUTE(INDEX(키움raw!F:F,2*ROW()-3),"현금매수","장내매수"),"현금매도","장내매도"))</f>
        <v/>
      </c>
      <c r="F170" t="str">
        <f>IF(INDEX(키움raw!A:A,2*ROW()-2)="","",INDEX(키움raw!E:E,2*ROW()-2))</f>
        <v/>
      </c>
      <c r="G170" t="str">
        <f>IF(INDEX(키움raw!A:A,2*ROW()-2)="","",INDEX(키움raw!F:F,2*ROW()-2))</f>
        <v/>
      </c>
      <c r="X170" t="str">
        <f>IF(INDEX(키움raw!A:A,2*ROW()-2)="","",TEXT(INDEX(키움raw!D:D,2*ROW()-3),"000000"))</f>
        <v/>
      </c>
      <c r="AA170" t="str">
        <f>IF(INDEX(키움raw!A:A,2*ROW()-2)="","",INDEX(키움raw!A:A,2*ROW()-2))</f>
        <v/>
      </c>
    </row>
    <row r="171" spans="1:27" x14ac:dyDescent="0.3">
      <c r="A171" t="str">
        <f>IF(INDEX(키움raw!A:A,2*ROW()-2)="","",$B$1)</f>
        <v/>
      </c>
      <c r="B171" t="str">
        <f>IF(INDEX(키움raw!A:A,2*ROW()-2)="","",INDEX(키움raw!A:A,2*ROW()-2))</f>
        <v/>
      </c>
      <c r="C171" t="str">
        <f>IF(INDEX(키움raw!A:A,2*ROW()-2)="","",INDEX(키움raw!K:K,2*ROW()-2))</f>
        <v/>
      </c>
      <c r="D171" t="str">
        <f>IF(INDEX(키움raw!A:A,2*ROW()-2)="","",INDEX(키움raw!B:B,2*ROW()-2))</f>
        <v/>
      </c>
      <c r="E171" t="str">
        <f>IF(INDEX(키움raw!A:A,2*ROW()-2)="","",INDEX(키움raw!D:D,2*ROW()-2)&amp;" "&amp;SUBSTITUTE(SUBSTITUTE(INDEX(키움raw!F:F,2*ROW()-3),"현금매수","장내매수"),"현금매도","장내매도"))</f>
        <v/>
      </c>
      <c r="F171" t="str">
        <f>IF(INDEX(키움raw!A:A,2*ROW()-2)="","",INDEX(키움raw!E:E,2*ROW()-2))</f>
        <v/>
      </c>
      <c r="G171" t="str">
        <f>IF(INDEX(키움raw!A:A,2*ROW()-2)="","",INDEX(키움raw!F:F,2*ROW()-2))</f>
        <v/>
      </c>
      <c r="X171" t="str">
        <f>IF(INDEX(키움raw!A:A,2*ROW()-2)="","",TEXT(INDEX(키움raw!D:D,2*ROW()-3),"000000"))</f>
        <v/>
      </c>
      <c r="AA171" t="str">
        <f>IF(INDEX(키움raw!A:A,2*ROW()-2)="","",INDEX(키움raw!A:A,2*ROW()-2))</f>
        <v/>
      </c>
    </row>
    <row r="172" spans="1:27" x14ac:dyDescent="0.3">
      <c r="A172" t="str">
        <f>IF(INDEX(키움raw!A:A,2*ROW()-2)="","",$B$1)</f>
        <v/>
      </c>
      <c r="B172" t="str">
        <f>IF(INDEX(키움raw!A:A,2*ROW()-2)="","",INDEX(키움raw!A:A,2*ROW()-2))</f>
        <v/>
      </c>
      <c r="C172" t="str">
        <f>IF(INDEX(키움raw!A:A,2*ROW()-2)="","",INDEX(키움raw!K:K,2*ROW()-2))</f>
        <v/>
      </c>
      <c r="D172" t="str">
        <f>IF(INDEX(키움raw!A:A,2*ROW()-2)="","",INDEX(키움raw!B:B,2*ROW()-2))</f>
        <v/>
      </c>
      <c r="E172" t="str">
        <f>IF(INDEX(키움raw!A:A,2*ROW()-2)="","",INDEX(키움raw!D:D,2*ROW()-2)&amp;" "&amp;SUBSTITUTE(SUBSTITUTE(INDEX(키움raw!F:F,2*ROW()-3),"현금매수","장내매수"),"현금매도","장내매도"))</f>
        <v/>
      </c>
      <c r="F172" t="str">
        <f>IF(INDEX(키움raw!A:A,2*ROW()-2)="","",INDEX(키움raw!E:E,2*ROW()-2))</f>
        <v/>
      </c>
      <c r="G172" t="str">
        <f>IF(INDEX(키움raw!A:A,2*ROW()-2)="","",INDEX(키움raw!F:F,2*ROW()-2))</f>
        <v/>
      </c>
      <c r="X172" t="str">
        <f>IF(INDEX(키움raw!A:A,2*ROW()-2)="","",TEXT(INDEX(키움raw!D:D,2*ROW()-3),"000000"))</f>
        <v/>
      </c>
      <c r="AA172" t="str">
        <f>IF(INDEX(키움raw!A:A,2*ROW()-2)="","",INDEX(키움raw!A:A,2*ROW()-2))</f>
        <v/>
      </c>
    </row>
    <row r="173" spans="1:27" x14ac:dyDescent="0.3">
      <c r="A173" t="str">
        <f>IF(INDEX(키움raw!A:A,2*ROW()-2)="","",$B$1)</f>
        <v/>
      </c>
      <c r="B173" t="str">
        <f>IF(INDEX(키움raw!A:A,2*ROW()-2)="","",INDEX(키움raw!A:A,2*ROW()-2))</f>
        <v/>
      </c>
      <c r="C173" t="str">
        <f>IF(INDEX(키움raw!A:A,2*ROW()-2)="","",INDEX(키움raw!K:K,2*ROW()-2))</f>
        <v/>
      </c>
      <c r="D173" t="str">
        <f>IF(INDEX(키움raw!A:A,2*ROW()-2)="","",INDEX(키움raw!B:B,2*ROW()-2))</f>
        <v/>
      </c>
      <c r="E173" t="str">
        <f>IF(INDEX(키움raw!A:A,2*ROW()-2)="","",INDEX(키움raw!D:D,2*ROW()-2)&amp;" "&amp;SUBSTITUTE(SUBSTITUTE(INDEX(키움raw!F:F,2*ROW()-3),"현금매수","장내매수"),"현금매도","장내매도"))</f>
        <v/>
      </c>
      <c r="F173" t="str">
        <f>IF(INDEX(키움raw!A:A,2*ROW()-2)="","",INDEX(키움raw!E:E,2*ROW()-2))</f>
        <v/>
      </c>
      <c r="G173" t="str">
        <f>IF(INDEX(키움raw!A:A,2*ROW()-2)="","",INDEX(키움raw!F:F,2*ROW()-2))</f>
        <v/>
      </c>
      <c r="X173" t="str">
        <f>IF(INDEX(키움raw!A:A,2*ROW()-2)="","",TEXT(INDEX(키움raw!D:D,2*ROW()-3),"000000"))</f>
        <v/>
      </c>
      <c r="AA173" t="str">
        <f>IF(INDEX(키움raw!A:A,2*ROW()-2)="","",INDEX(키움raw!A:A,2*ROW()-2))</f>
        <v/>
      </c>
    </row>
    <row r="174" spans="1:27" x14ac:dyDescent="0.3">
      <c r="A174" t="str">
        <f>IF(INDEX(키움raw!A:A,2*ROW()-2)="","",$B$1)</f>
        <v/>
      </c>
      <c r="B174" t="str">
        <f>IF(INDEX(키움raw!A:A,2*ROW()-2)="","",INDEX(키움raw!A:A,2*ROW()-2))</f>
        <v/>
      </c>
      <c r="C174" t="str">
        <f>IF(INDEX(키움raw!A:A,2*ROW()-2)="","",INDEX(키움raw!K:K,2*ROW()-2))</f>
        <v/>
      </c>
      <c r="D174" t="str">
        <f>IF(INDEX(키움raw!A:A,2*ROW()-2)="","",INDEX(키움raw!B:B,2*ROW()-2))</f>
        <v/>
      </c>
      <c r="E174" t="str">
        <f>IF(INDEX(키움raw!A:A,2*ROW()-2)="","",INDEX(키움raw!D:D,2*ROW()-2)&amp;" "&amp;SUBSTITUTE(SUBSTITUTE(INDEX(키움raw!F:F,2*ROW()-3),"현금매수","장내매수"),"현금매도","장내매도"))</f>
        <v/>
      </c>
      <c r="F174" t="str">
        <f>IF(INDEX(키움raw!A:A,2*ROW()-2)="","",INDEX(키움raw!E:E,2*ROW()-2))</f>
        <v/>
      </c>
      <c r="G174" t="str">
        <f>IF(INDEX(키움raw!A:A,2*ROW()-2)="","",INDEX(키움raw!F:F,2*ROW()-2))</f>
        <v/>
      </c>
      <c r="X174" t="str">
        <f>IF(INDEX(키움raw!A:A,2*ROW()-2)="","",TEXT(INDEX(키움raw!D:D,2*ROW()-3),"000000"))</f>
        <v/>
      </c>
      <c r="AA174" t="str">
        <f>IF(INDEX(키움raw!A:A,2*ROW()-2)="","",INDEX(키움raw!A:A,2*ROW()-2))</f>
        <v/>
      </c>
    </row>
    <row r="175" spans="1:27" x14ac:dyDescent="0.3">
      <c r="A175" t="str">
        <f>IF(INDEX(키움raw!A:A,2*ROW()-2)="","",$B$1)</f>
        <v/>
      </c>
      <c r="B175" t="str">
        <f>IF(INDEX(키움raw!A:A,2*ROW()-2)="","",INDEX(키움raw!A:A,2*ROW()-2))</f>
        <v/>
      </c>
      <c r="C175" t="str">
        <f>IF(INDEX(키움raw!A:A,2*ROW()-2)="","",INDEX(키움raw!K:K,2*ROW()-2))</f>
        <v/>
      </c>
      <c r="D175" t="str">
        <f>IF(INDEX(키움raw!A:A,2*ROW()-2)="","",INDEX(키움raw!B:B,2*ROW()-2))</f>
        <v/>
      </c>
      <c r="E175" t="str">
        <f>IF(INDEX(키움raw!A:A,2*ROW()-2)="","",INDEX(키움raw!D:D,2*ROW()-2)&amp;" "&amp;SUBSTITUTE(SUBSTITUTE(INDEX(키움raw!F:F,2*ROW()-3),"현금매수","장내매수"),"현금매도","장내매도"))</f>
        <v/>
      </c>
      <c r="F175" t="str">
        <f>IF(INDEX(키움raw!A:A,2*ROW()-2)="","",INDEX(키움raw!E:E,2*ROW()-2))</f>
        <v/>
      </c>
      <c r="G175" t="str">
        <f>IF(INDEX(키움raw!A:A,2*ROW()-2)="","",INDEX(키움raw!F:F,2*ROW()-2))</f>
        <v/>
      </c>
      <c r="X175" t="str">
        <f>IF(INDEX(키움raw!A:A,2*ROW()-2)="","",TEXT(INDEX(키움raw!D:D,2*ROW()-3),"000000"))</f>
        <v/>
      </c>
      <c r="AA175" t="str">
        <f>IF(INDEX(키움raw!A:A,2*ROW()-2)="","",INDEX(키움raw!A:A,2*ROW()-2))</f>
        <v/>
      </c>
    </row>
    <row r="176" spans="1:27" x14ac:dyDescent="0.3">
      <c r="A176" t="str">
        <f>IF(INDEX(키움raw!A:A,2*ROW()-2)="","",$B$1)</f>
        <v/>
      </c>
      <c r="B176" t="str">
        <f>IF(INDEX(키움raw!A:A,2*ROW()-2)="","",INDEX(키움raw!A:A,2*ROW()-2))</f>
        <v/>
      </c>
      <c r="C176" t="str">
        <f>IF(INDEX(키움raw!A:A,2*ROW()-2)="","",INDEX(키움raw!K:K,2*ROW()-2))</f>
        <v/>
      </c>
      <c r="D176" t="str">
        <f>IF(INDEX(키움raw!A:A,2*ROW()-2)="","",INDEX(키움raw!B:B,2*ROW()-2))</f>
        <v/>
      </c>
      <c r="E176" t="str">
        <f>IF(INDEX(키움raw!A:A,2*ROW()-2)="","",INDEX(키움raw!D:D,2*ROW()-2)&amp;" "&amp;SUBSTITUTE(SUBSTITUTE(INDEX(키움raw!F:F,2*ROW()-3),"현금매수","장내매수"),"현금매도","장내매도"))</f>
        <v/>
      </c>
      <c r="F176" t="str">
        <f>IF(INDEX(키움raw!A:A,2*ROW()-2)="","",INDEX(키움raw!E:E,2*ROW()-2))</f>
        <v/>
      </c>
      <c r="G176" t="str">
        <f>IF(INDEX(키움raw!A:A,2*ROW()-2)="","",INDEX(키움raw!F:F,2*ROW()-2))</f>
        <v/>
      </c>
      <c r="X176" t="str">
        <f>IF(INDEX(키움raw!A:A,2*ROW()-2)="","",TEXT(INDEX(키움raw!D:D,2*ROW()-3),"000000"))</f>
        <v/>
      </c>
      <c r="AA176" t="str">
        <f>IF(INDEX(키움raw!A:A,2*ROW()-2)="","",INDEX(키움raw!A:A,2*ROW()-2))</f>
        <v/>
      </c>
    </row>
    <row r="177" spans="1:27" x14ac:dyDescent="0.3">
      <c r="A177" t="str">
        <f>IF(INDEX(키움raw!A:A,2*ROW()-2)="","",$B$1)</f>
        <v/>
      </c>
      <c r="B177" t="str">
        <f>IF(INDEX(키움raw!A:A,2*ROW()-2)="","",INDEX(키움raw!A:A,2*ROW()-2))</f>
        <v/>
      </c>
      <c r="C177" t="str">
        <f>IF(INDEX(키움raw!A:A,2*ROW()-2)="","",INDEX(키움raw!K:K,2*ROW()-2))</f>
        <v/>
      </c>
      <c r="D177" t="str">
        <f>IF(INDEX(키움raw!A:A,2*ROW()-2)="","",INDEX(키움raw!B:B,2*ROW()-2))</f>
        <v/>
      </c>
      <c r="E177" t="str">
        <f>IF(INDEX(키움raw!A:A,2*ROW()-2)="","",INDEX(키움raw!D:D,2*ROW()-2)&amp;" "&amp;SUBSTITUTE(SUBSTITUTE(INDEX(키움raw!F:F,2*ROW()-3),"현금매수","장내매수"),"현금매도","장내매도"))</f>
        <v/>
      </c>
      <c r="F177" t="str">
        <f>IF(INDEX(키움raw!A:A,2*ROW()-2)="","",INDEX(키움raw!E:E,2*ROW()-2))</f>
        <v/>
      </c>
      <c r="G177" t="str">
        <f>IF(INDEX(키움raw!A:A,2*ROW()-2)="","",INDEX(키움raw!F:F,2*ROW()-2))</f>
        <v/>
      </c>
      <c r="X177" t="str">
        <f>IF(INDEX(키움raw!A:A,2*ROW()-2)="","",TEXT(INDEX(키움raw!D:D,2*ROW()-3),"000000"))</f>
        <v/>
      </c>
      <c r="AA177" t="str">
        <f>IF(INDEX(키움raw!A:A,2*ROW()-2)="","",INDEX(키움raw!A:A,2*ROW()-2))</f>
        <v/>
      </c>
    </row>
    <row r="178" spans="1:27" x14ac:dyDescent="0.3">
      <c r="A178" t="str">
        <f>IF(INDEX(키움raw!A:A,2*ROW()-2)="","",$B$1)</f>
        <v/>
      </c>
      <c r="B178" t="str">
        <f>IF(INDEX(키움raw!A:A,2*ROW()-2)="","",INDEX(키움raw!A:A,2*ROW()-2))</f>
        <v/>
      </c>
      <c r="C178" t="str">
        <f>IF(INDEX(키움raw!A:A,2*ROW()-2)="","",INDEX(키움raw!K:K,2*ROW()-2))</f>
        <v/>
      </c>
      <c r="D178" t="str">
        <f>IF(INDEX(키움raw!A:A,2*ROW()-2)="","",INDEX(키움raw!B:B,2*ROW()-2))</f>
        <v/>
      </c>
      <c r="E178" t="str">
        <f>IF(INDEX(키움raw!A:A,2*ROW()-2)="","",INDEX(키움raw!D:D,2*ROW()-2)&amp;" "&amp;SUBSTITUTE(SUBSTITUTE(INDEX(키움raw!F:F,2*ROW()-3),"현금매수","장내매수"),"현금매도","장내매도"))</f>
        <v/>
      </c>
      <c r="F178" t="str">
        <f>IF(INDEX(키움raw!A:A,2*ROW()-2)="","",INDEX(키움raw!E:E,2*ROW()-2))</f>
        <v/>
      </c>
      <c r="G178" t="str">
        <f>IF(INDEX(키움raw!A:A,2*ROW()-2)="","",INDEX(키움raw!F:F,2*ROW()-2))</f>
        <v/>
      </c>
      <c r="X178" t="str">
        <f>IF(INDEX(키움raw!A:A,2*ROW()-2)="","",TEXT(INDEX(키움raw!D:D,2*ROW()-3),"000000"))</f>
        <v/>
      </c>
      <c r="AA178" t="str">
        <f>IF(INDEX(키움raw!A:A,2*ROW()-2)="","",INDEX(키움raw!A:A,2*ROW()-2))</f>
        <v/>
      </c>
    </row>
    <row r="179" spans="1:27" x14ac:dyDescent="0.3">
      <c r="A179" t="str">
        <f>IF(INDEX(키움raw!A:A,2*ROW()-2)="","",$B$1)</f>
        <v/>
      </c>
      <c r="B179" t="str">
        <f>IF(INDEX(키움raw!A:A,2*ROW()-2)="","",INDEX(키움raw!A:A,2*ROW()-2))</f>
        <v/>
      </c>
      <c r="C179" t="str">
        <f>IF(INDEX(키움raw!A:A,2*ROW()-2)="","",INDEX(키움raw!K:K,2*ROW()-2))</f>
        <v/>
      </c>
      <c r="D179" t="str">
        <f>IF(INDEX(키움raw!A:A,2*ROW()-2)="","",INDEX(키움raw!B:B,2*ROW()-2))</f>
        <v/>
      </c>
      <c r="E179" t="str">
        <f>IF(INDEX(키움raw!A:A,2*ROW()-2)="","",INDEX(키움raw!D:D,2*ROW()-2)&amp;" "&amp;SUBSTITUTE(SUBSTITUTE(INDEX(키움raw!F:F,2*ROW()-3),"현금매수","장내매수"),"현금매도","장내매도"))</f>
        <v/>
      </c>
      <c r="F179" t="str">
        <f>IF(INDEX(키움raw!A:A,2*ROW()-2)="","",INDEX(키움raw!E:E,2*ROW()-2))</f>
        <v/>
      </c>
      <c r="G179" t="str">
        <f>IF(INDEX(키움raw!A:A,2*ROW()-2)="","",INDEX(키움raw!F:F,2*ROW()-2))</f>
        <v/>
      </c>
      <c r="X179" t="str">
        <f>IF(INDEX(키움raw!A:A,2*ROW()-2)="","",TEXT(INDEX(키움raw!D:D,2*ROW()-3),"000000"))</f>
        <v/>
      </c>
      <c r="AA179" t="str">
        <f>IF(INDEX(키움raw!A:A,2*ROW()-2)="","",INDEX(키움raw!A:A,2*ROW()-2))</f>
        <v/>
      </c>
    </row>
    <row r="180" spans="1:27" x14ac:dyDescent="0.3">
      <c r="A180" t="str">
        <f>IF(INDEX(키움raw!A:A,2*ROW()-2)="","",$B$1)</f>
        <v/>
      </c>
      <c r="B180" t="str">
        <f>IF(INDEX(키움raw!A:A,2*ROW()-2)="","",INDEX(키움raw!A:A,2*ROW()-2))</f>
        <v/>
      </c>
      <c r="C180" t="str">
        <f>IF(INDEX(키움raw!A:A,2*ROW()-2)="","",INDEX(키움raw!K:K,2*ROW()-2))</f>
        <v/>
      </c>
      <c r="D180" t="str">
        <f>IF(INDEX(키움raw!A:A,2*ROW()-2)="","",INDEX(키움raw!B:B,2*ROW()-2))</f>
        <v/>
      </c>
      <c r="E180" t="str">
        <f>IF(INDEX(키움raw!A:A,2*ROW()-2)="","",INDEX(키움raw!D:D,2*ROW()-2)&amp;" "&amp;SUBSTITUTE(SUBSTITUTE(INDEX(키움raw!F:F,2*ROW()-3),"현금매수","장내매수"),"현금매도","장내매도"))</f>
        <v/>
      </c>
      <c r="F180" t="str">
        <f>IF(INDEX(키움raw!A:A,2*ROW()-2)="","",INDEX(키움raw!E:E,2*ROW()-2))</f>
        <v/>
      </c>
      <c r="G180" t="str">
        <f>IF(INDEX(키움raw!A:A,2*ROW()-2)="","",INDEX(키움raw!F:F,2*ROW()-2))</f>
        <v/>
      </c>
      <c r="X180" t="str">
        <f>IF(INDEX(키움raw!A:A,2*ROW()-2)="","",TEXT(INDEX(키움raw!D:D,2*ROW()-3),"000000"))</f>
        <v/>
      </c>
      <c r="AA180" t="str">
        <f>IF(INDEX(키움raw!A:A,2*ROW()-2)="","",INDEX(키움raw!A:A,2*ROW()-2))</f>
        <v/>
      </c>
    </row>
    <row r="181" spans="1:27" x14ac:dyDescent="0.3">
      <c r="A181" t="str">
        <f>IF(INDEX(키움raw!A:A,2*ROW()-2)="","",$B$1)</f>
        <v/>
      </c>
      <c r="B181" t="str">
        <f>IF(INDEX(키움raw!A:A,2*ROW()-2)="","",INDEX(키움raw!A:A,2*ROW()-2))</f>
        <v/>
      </c>
      <c r="C181" t="str">
        <f>IF(INDEX(키움raw!A:A,2*ROW()-2)="","",INDEX(키움raw!K:K,2*ROW()-2))</f>
        <v/>
      </c>
      <c r="D181" t="str">
        <f>IF(INDEX(키움raw!A:A,2*ROW()-2)="","",INDEX(키움raw!B:B,2*ROW()-2))</f>
        <v/>
      </c>
      <c r="E181" t="str">
        <f>IF(INDEX(키움raw!A:A,2*ROW()-2)="","",INDEX(키움raw!D:D,2*ROW()-2)&amp;" "&amp;SUBSTITUTE(SUBSTITUTE(INDEX(키움raw!F:F,2*ROW()-3),"현금매수","장내매수"),"현금매도","장내매도"))</f>
        <v/>
      </c>
      <c r="F181" t="str">
        <f>IF(INDEX(키움raw!A:A,2*ROW()-2)="","",INDEX(키움raw!E:E,2*ROW()-2))</f>
        <v/>
      </c>
      <c r="G181" t="str">
        <f>IF(INDEX(키움raw!A:A,2*ROW()-2)="","",INDEX(키움raw!F:F,2*ROW()-2))</f>
        <v/>
      </c>
      <c r="X181" t="str">
        <f>IF(INDEX(키움raw!A:A,2*ROW()-2)="","",TEXT(INDEX(키움raw!D:D,2*ROW()-3),"000000"))</f>
        <v/>
      </c>
      <c r="AA181" t="str">
        <f>IF(INDEX(키움raw!A:A,2*ROW()-2)="","",INDEX(키움raw!A:A,2*ROW()-2))</f>
        <v/>
      </c>
    </row>
    <row r="182" spans="1:27" x14ac:dyDescent="0.3">
      <c r="A182" t="str">
        <f>IF(INDEX(키움raw!A:A,2*ROW()-2)="","",$B$1)</f>
        <v/>
      </c>
      <c r="B182" t="str">
        <f>IF(INDEX(키움raw!A:A,2*ROW()-2)="","",INDEX(키움raw!A:A,2*ROW()-2))</f>
        <v/>
      </c>
      <c r="C182" t="str">
        <f>IF(INDEX(키움raw!A:A,2*ROW()-2)="","",INDEX(키움raw!K:K,2*ROW()-2))</f>
        <v/>
      </c>
      <c r="D182" t="str">
        <f>IF(INDEX(키움raw!A:A,2*ROW()-2)="","",INDEX(키움raw!B:B,2*ROW()-2))</f>
        <v/>
      </c>
      <c r="E182" t="str">
        <f>IF(INDEX(키움raw!A:A,2*ROW()-2)="","",INDEX(키움raw!D:D,2*ROW()-2)&amp;" "&amp;SUBSTITUTE(SUBSTITUTE(INDEX(키움raw!F:F,2*ROW()-3),"현금매수","장내매수"),"현금매도","장내매도"))</f>
        <v/>
      </c>
      <c r="F182" t="str">
        <f>IF(INDEX(키움raw!A:A,2*ROW()-2)="","",INDEX(키움raw!E:E,2*ROW()-2))</f>
        <v/>
      </c>
      <c r="G182" t="str">
        <f>IF(INDEX(키움raw!A:A,2*ROW()-2)="","",INDEX(키움raw!F:F,2*ROW()-2))</f>
        <v/>
      </c>
      <c r="X182" t="str">
        <f>IF(INDEX(키움raw!A:A,2*ROW()-2)="","",TEXT(INDEX(키움raw!D:D,2*ROW()-3),"000000"))</f>
        <v/>
      </c>
      <c r="AA182" t="str">
        <f>IF(INDEX(키움raw!A:A,2*ROW()-2)="","",INDEX(키움raw!A:A,2*ROW()-2))</f>
        <v/>
      </c>
    </row>
    <row r="183" spans="1:27" x14ac:dyDescent="0.3">
      <c r="A183" t="str">
        <f>IF(INDEX(키움raw!A:A,2*ROW()-2)="","",$B$1)</f>
        <v/>
      </c>
      <c r="B183" t="str">
        <f>IF(INDEX(키움raw!A:A,2*ROW()-2)="","",INDEX(키움raw!A:A,2*ROW()-2))</f>
        <v/>
      </c>
      <c r="C183" t="str">
        <f>IF(INDEX(키움raw!A:A,2*ROW()-2)="","",INDEX(키움raw!K:K,2*ROW()-2))</f>
        <v/>
      </c>
      <c r="D183" t="str">
        <f>IF(INDEX(키움raw!A:A,2*ROW()-2)="","",INDEX(키움raw!B:B,2*ROW()-2))</f>
        <v/>
      </c>
      <c r="E183" t="str">
        <f>IF(INDEX(키움raw!A:A,2*ROW()-2)="","",INDEX(키움raw!D:D,2*ROW()-2)&amp;" "&amp;SUBSTITUTE(SUBSTITUTE(INDEX(키움raw!F:F,2*ROW()-3),"현금매수","장내매수"),"현금매도","장내매도"))</f>
        <v/>
      </c>
      <c r="F183" t="str">
        <f>IF(INDEX(키움raw!A:A,2*ROW()-2)="","",INDEX(키움raw!E:E,2*ROW()-2))</f>
        <v/>
      </c>
      <c r="G183" t="str">
        <f>IF(INDEX(키움raw!A:A,2*ROW()-2)="","",INDEX(키움raw!F:F,2*ROW()-2))</f>
        <v/>
      </c>
      <c r="X183" t="str">
        <f>IF(INDEX(키움raw!A:A,2*ROW()-2)="","",TEXT(INDEX(키움raw!D:D,2*ROW()-3),"000000"))</f>
        <v/>
      </c>
      <c r="AA183" t="str">
        <f>IF(INDEX(키움raw!A:A,2*ROW()-2)="","",INDEX(키움raw!A:A,2*ROW()-2))</f>
        <v/>
      </c>
    </row>
    <row r="184" spans="1:27" x14ac:dyDescent="0.3">
      <c r="A184" t="str">
        <f>IF(INDEX(키움raw!A:A,2*ROW()-2)="","",$B$1)</f>
        <v/>
      </c>
      <c r="B184" t="str">
        <f>IF(INDEX(키움raw!A:A,2*ROW()-2)="","",INDEX(키움raw!A:A,2*ROW()-2))</f>
        <v/>
      </c>
      <c r="C184" t="str">
        <f>IF(INDEX(키움raw!A:A,2*ROW()-2)="","",INDEX(키움raw!K:K,2*ROW()-2))</f>
        <v/>
      </c>
      <c r="D184" t="str">
        <f>IF(INDEX(키움raw!A:A,2*ROW()-2)="","",INDEX(키움raw!B:B,2*ROW()-2))</f>
        <v/>
      </c>
      <c r="E184" t="str">
        <f>IF(INDEX(키움raw!A:A,2*ROW()-2)="","",INDEX(키움raw!D:D,2*ROW()-2)&amp;" "&amp;SUBSTITUTE(SUBSTITUTE(INDEX(키움raw!F:F,2*ROW()-3),"현금매수","장내매수"),"현금매도","장내매도"))</f>
        <v/>
      </c>
      <c r="F184" t="str">
        <f>IF(INDEX(키움raw!A:A,2*ROW()-2)="","",INDEX(키움raw!E:E,2*ROW()-2))</f>
        <v/>
      </c>
      <c r="G184" t="str">
        <f>IF(INDEX(키움raw!A:A,2*ROW()-2)="","",INDEX(키움raw!F:F,2*ROW()-2))</f>
        <v/>
      </c>
      <c r="X184" t="str">
        <f>IF(INDEX(키움raw!A:A,2*ROW()-2)="","",TEXT(INDEX(키움raw!D:D,2*ROW()-3),"000000"))</f>
        <v/>
      </c>
      <c r="AA184" t="str">
        <f>IF(INDEX(키움raw!A:A,2*ROW()-2)="","",INDEX(키움raw!A:A,2*ROW()-2))</f>
        <v/>
      </c>
    </row>
    <row r="185" spans="1:27" x14ac:dyDescent="0.3">
      <c r="A185" t="str">
        <f>IF(INDEX(키움raw!A:A,2*ROW()-2)="","",$B$1)</f>
        <v/>
      </c>
      <c r="B185" t="str">
        <f>IF(INDEX(키움raw!A:A,2*ROW()-2)="","",INDEX(키움raw!A:A,2*ROW()-2))</f>
        <v/>
      </c>
      <c r="C185" t="str">
        <f>IF(INDEX(키움raw!A:A,2*ROW()-2)="","",INDEX(키움raw!K:K,2*ROW()-2))</f>
        <v/>
      </c>
      <c r="D185" t="str">
        <f>IF(INDEX(키움raw!A:A,2*ROW()-2)="","",INDEX(키움raw!B:B,2*ROW()-2))</f>
        <v/>
      </c>
      <c r="E185" t="str">
        <f>IF(INDEX(키움raw!A:A,2*ROW()-2)="","",INDEX(키움raw!D:D,2*ROW()-2)&amp;" "&amp;SUBSTITUTE(SUBSTITUTE(INDEX(키움raw!F:F,2*ROW()-3),"현금매수","장내매수"),"현금매도","장내매도"))</f>
        <v/>
      </c>
      <c r="F185" t="str">
        <f>IF(INDEX(키움raw!A:A,2*ROW()-2)="","",INDEX(키움raw!E:E,2*ROW()-2))</f>
        <v/>
      </c>
      <c r="G185" t="str">
        <f>IF(INDEX(키움raw!A:A,2*ROW()-2)="","",INDEX(키움raw!F:F,2*ROW()-2))</f>
        <v/>
      </c>
      <c r="X185" t="str">
        <f>IF(INDEX(키움raw!A:A,2*ROW()-2)="","",TEXT(INDEX(키움raw!D:D,2*ROW()-3),"000000"))</f>
        <v/>
      </c>
      <c r="AA185" t="str">
        <f>IF(INDEX(키움raw!A:A,2*ROW()-2)="","",INDEX(키움raw!A:A,2*ROW()-2))</f>
        <v/>
      </c>
    </row>
    <row r="186" spans="1:27" x14ac:dyDescent="0.3">
      <c r="A186" t="str">
        <f>IF(INDEX(키움raw!A:A,2*ROW()-2)="","",$B$1)</f>
        <v/>
      </c>
      <c r="B186" t="str">
        <f>IF(INDEX(키움raw!A:A,2*ROW()-2)="","",INDEX(키움raw!A:A,2*ROW()-2))</f>
        <v/>
      </c>
      <c r="C186" t="str">
        <f>IF(INDEX(키움raw!A:A,2*ROW()-2)="","",INDEX(키움raw!K:K,2*ROW()-2))</f>
        <v/>
      </c>
      <c r="D186" t="str">
        <f>IF(INDEX(키움raw!A:A,2*ROW()-2)="","",INDEX(키움raw!B:B,2*ROW()-2))</f>
        <v/>
      </c>
      <c r="E186" t="str">
        <f>IF(INDEX(키움raw!A:A,2*ROW()-2)="","",INDEX(키움raw!D:D,2*ROW()-2)&amp;" "&amp;SUBSTITUTE(SUBSTITUTE(INDEX(키움raw!F:F,2*ROW()-3),"현금매수","장내매수"),"현금매도","장내매도"))</f>
        <v/>
      </c>
      <c r="F186" t="str">
        <f>IF(INDEX(키움raw!A:A,2*ROW()-2)="","",INDEX(키움raw!E:E,2*ROW()-2))</f>
        <v/>
      </c>
      <c r="G186" t="str">
        <f>IF(INDEX(키움raw!A:A,2*ROW()-2)="","",INDEX(키움raw!F:F,2*ROW()-2))</f>
        <v/>
      </c>
      <c r="X186" t="str">
        <f>IF(INDEX(키움raw!A:A,2*ROW()-2)="","",TEXT(INDEX(키움raw!D:D,2*ROW()-3),"000000"))</f>
        <v/>
      </c>
      <c r="AA186" t="str">
        <f>IF(INDEX(키움raw!A:A,2*ROW()-2)="","",INDEX(키움raw!A:A,2*ROW()-2))</f>
        <v/>
      </c>
    </row>
    <row r="187" spans="1:27" x14ac:dyDescent="0.3">
      <c r="A187" t="str">
        <f>IF(INDEX(키움raw!A:A,2*ROW()-2)="","",$B$1)</f>
        <v/>
      </c>
      <c r="B187" t="str">
        <f>IF(INDEX(키움raw!A:A,2*ROW()-2)="","",INDEX(키움raw!A:A,2*ROW()-2))</f>
        <v/>
      </c>
      <c r="C187" t="str">
        <f>IF(INDEX(키움raw!A:A,2*ROW()-2)="","",INDEX(키움raw!K:K,2*ROW()-2))</f>
        <v/>
      </c>
      <c r="D187" t="str">
        <f>IF(INDEX(키움raw!A:A,2*ROW()-2)="","",INDEX(키움raw!B:B,2*ROW()-2))</f>
        <v/>
      </c>
      <c r="E187" t="str">
        <f>IF(INDEX(키움raw!A:A,2*ROW()-2)="","",INDEX(키움raw!D:D,2*ROW()-2)&amp;" "&amp;SUBSTITUTE(SUBSTITUTE(INDEX(키움raw!F:F,2*ROW()-3),"현금매수","장내매수"),"현금매도","장내매도"))</f>
        <v/>
      </c>
      <c r="F187" t="str">
        <f>IF(INDEX(키움raw!A:A,2*ROW()-2)="","",INDEX(키움raw!E:E,2*ROW()-2))</f>
        <v/>
      </c>
      <c r="G187" t="str">
        <f>IF(INDEX(키움raw!A:A,2*ROW()-2)="","",INDEX(키움raw!F:F,2*ROW()-2))</f>
        <v/>
      </c>
      <c r="X187" t="str">
        <f>IF(INDEX(키움raw!A:A,2*ROW()-2)="","",TEXT(INDEX(키움raw!D:D,2*ROW()-3),"000000"))</f>
        <v/>
      </c>
      <c r="AA187" t="str">
        <f>IF(INDEX(키움raw!A:A,2*ROW()-2)="","",INDEX(키움raw!A:A,2*ROW()-2))</f>
        <v/>
      </c>
    </row>
    <row r="188" spans="1:27" x14ac:dyDescent="0.3">
      <c r="A188" t="str">
        <f>IF(INDEX(키움raw!A:A,2*ROW()-2)="","",$B$1)</f>
        <v/>
      </c>
      <c r="B188" t="str">
        <f>IF(INDEX(키움raw!A:A,2*ROW()-2)="","",INDEX(키움raw!A:A,2*ROW()-2))</f>
        <v/>
      </c>
      <c r="C188" t="str">
        <f>IF(INDEX(키움raw!A:A,2*ROW()-2)="","",INDEX(키움raw!K:K,2*ROW()-2))</f>
        <v/>
      </c>
      <c r="D188" t="str">
        <f>IF(INDEX(키움raw!A:A,2*ROW()-2)="","",INDEX(키움raw!B:B,2*ROW()-2))</f>
        <v/>
      </c>
      <c r="E188" t="str">
        <f>IF(INDEX(키움raw!A:A,2*ROW()-2)="","",INDEX(키움raw!D:D,2*ROW()-2)&amp;" "&amp;SUBSTITUTE(SUBSTITUTE(INDEX(키움raw!F:F,2*ROW()-3),"현금매수","장내매수"),"현금매도","장내매도"))</f>
        <v/>
      </c>
      <c r="F188" t="str">
        <f>IF(INDEX(키움raw!A:A,2*ROW()-2)="","",INDEX(키움raw!E:E,2*ROW()-2))</f>
        <v/>
      </c>
      <c r="G188" t="str">
        <f>IF(INDEX(키움raw!A:A,2*ROW()-2)="","",INDEX(키움raw!F:F,2*ROW()-2))</f>
        <v/>
      </c>
      <c r="X188" t="str">
        <f>IF(INDEX(키움raw!A:A,2*ROW()-2)="","",TEXT(INDEX(키움raw!D:D,2*ROW()-3),"000000"))</f>
        <v/>
      </c>
      <c r="AA188" t="str">
        <f>IF(INDEX(키움raw!A:A,2*ROW()-2)="","",INDEX(키움raw!A:A,2*ROW()-2))</f>
        <v/>
      </c>
    </row>
    <row r="189" spans="1:27" x14ac:dyDescent="0.3">
      <c r="A189" t="str">
        <f>IF(INDEX(키움raw!A:A,2*ROW()-2)="","",$B$1)</f>
        <v/>
      </c>
      <c r="B189" t="str">
        <f>IF(INDEX(키움raw!A:A,2*ROW()-2)="","",INDEX(키움raw!A:A,2*ROW()-2))</f>
        <v/>
      </c>
      <c r="C189" t="str">
        <f>IF(INDEX(키움raw!A:A,2*ROW()-2)="","",INDEX(키움raw!K:K,2*ROW()-2))</f>
        <v/>
      </c>
      <c r="D189" t="str">
        <f>IF(INDEX(키움raw!A:A,2*ROW()-2)="","",INDEX(키움raw!B:B,2*ROW()-2))</f>
        <v/>
      </c>
      <c r="E189" t="str">
        <f>IF(INDEX(키움raw!A:A,2*ROW()-2)="","",INDEX(키움raw!D:D,2*ROW()-2)&amp;" "&amp;SUBSTITUTE(SUBSTITUTE(INDEX(키움raw!F:F,2*ROW()-3),"현금매수","장내매수"),"현금매도","장내매도"))</f>
        <v/>
      </c>
      <c r="F189" t="str">
        <f>IF(INDEX(키움raw!A:A,2*ROW()-2)="","",INDEX(키움raw!E:E,2*ROW()-2))</f>
        <v/>
      </c>
      <c r="G189" t="str">
        <f>IF(INDEX(키움raw!A:A,2*ROW()-2)="","",INDEX(키움raw!F:F,2*ROW()-2))</f>
        <v/>
      </c>
      <c r="X189" t="str">
        <f>IF(INDEX(키움raw!A:A,2*ROW()-2)="","",TEXT(INDEX(키움raw!D:D,2*ROW()-3),"000000"))</f>
        <v/>
      </c>
      <c r="AA189" t="str">
        <f>IF(INDEX(키움raw!A:A,2*ROW()-2)="","",INDEX(키움raw!A:A,2*ROW()-2))</f>
        <v/>
      </c>
    </row>
    <row r="190" spans="1:27" x14ac:dyDescent="0.3">
      <c r="A190" t="str">
        <f>IF(INDEX(키움raw!A:A,2*ROW()-2)="","",$B$1)</f>
        <v/>
      </c>
      <c r="B190" t="str">
        <f>IF(INDEX(키움raw!A:A,2*ROW()-2)="","",INDEX(키움raw!A:A,2*ROW()-2))</f>
        <v/>
      </c>
      <c r="C190" t="str">
        <f>IF(INDEX(키움raw!A:A,2*ROW()-2)="","",INDEX(키움raw!K:K,2*ROW()-2))</f>
        <v/>
      </c>
      <c r="D190" t="str">
        <f>IF(INDEX(키움raw!A:A,2*ROW()-2)="","",INDEX(키움raw!B:B,2*ROW()-2))</f>
        <v/>
      </c>
      <c r="E190" t="str">
        <f>IF(INDEX(키움raw!A:A,2*ROW()-2)="","",INDEX(키움raw!D:D,2*ROW()-2)&amp;" "&amp;SUBSTITUTE(SUBSTITUTE(INDEX(키움raw!F:F,2*ROW()-3),"현금매수","장내매수"),"현금매도","장내매도"))</f>
        <v/>
      </c>
      <c r="F190" t="str">
        <f>IF(INDEX(키움raw!A:A,2*ROW()-2)="","",INDEX(키움raw!E:E,2*ROW()-2))</f>
        <v/>
      </c>
      <c r="G190" t="str">
        <f>IF(INDEX(키움raw!A:A,2*ROW()-2)="","",INDEX(키움raw!F:F,2*ROW()-2))</f>
        <v/>
      </c>
      <c r="X190" t="str">
        <f>IF(INDEX(키움raw!A:A,2*ROW()-2)="","",TEXT(INDEX(키움raw!D:D,2*ROW()-3),"000000"))</f>
        <v/>
      </c>
      <c r="AA190" t="str">
        <f>IF(INDEX(키움raw!A:A,2*ROW()-2)="","",INDEX(키움raw!A:A,2*ROW()-2))</f>
        <v/>
      </c>
    </row>
    <row r="191" spans="1:27" x14ac:dyDescent="0.3">
      <c r="A191" t="str">
        <f>IF(INDEX(키움raw!A:A,2*ROW()-2)="","",$B$1)</f>
        <v/>
      </c>
      <c r="B191" t="str">
        <f>IF(INDEX(키움raw!A:A,2*ROW()-2)="","",INDEX(키움raw!A:A,2*ROW()-2))</f>
        <v/>
      </c>
      <c r="C191" t="str">
        <f>IF(INDEX(키움raw!A:A,2*ROW()-2)="","",INDEX(키움raw!K:K,2*ROW()-2))</f>
        <v/>
      </c>
      <c r="D191" t="str">
        <f>IF(INDEX(키움raw!A:A,2*ROW()-2)="","",INDEX(키움raw!B:B,2*ROW()-2))</f>
        <v/>
      </c>
      <c r="E191" t="str">
        <f>IF(INDEX(키움raw!A:A,2*ROW()-2)="","",INDEX(키움raw!D:D,2*ROW()-2)&amp;" "&amp;SUBSTITUTE(SUBSTITUTE(INDEX(키움raw!F:F,2*ROW()-3),"현금매수","장내매수"),"현금매도","장내매도"))</f>
        <v/>
      </c>
      <c r="F191" t="str">
        <f>IF(INDEX(키움raw!A:A,2*ROW()-2)="","",INDEX(키움raw!E:E,2*ROW()-2))</f>
        <v/>
      </c>
      <c r="G191" t="str">
        <f>IF(INDEX(키움raw!A:A,2*ROW()-2)="","",INDEX(키움raw!F:F,2*ROW()-2))</f>
        <v/>
      </c>
      <c r="X191" t="str">
        <f>IF(INDEX(키움raw!A:A,2*ROW()-2)="","",TEXT(INDEX(키움raw!D:D,2*ROW()-3),"000000"))</f>
        <v/>
      </c>
      <c r="AA191" t="str">
        <f>IF(INDEX(키움raw!A:A,2*ROW()-2)="","",INDEX(키움raw!A:A,2*ROW()-2))</f>
        <v/>
      </c>
    </row>
    <row r="192" spans="1:27" x14ac:dyDescent="0.3">
      <c r="A192" t="str">
        <f>IF(INDEX(키움raw!A:A,2*ROW()-2)="","",$B$1)</f>
        <v/>
      </c>
      <c r="B192" t="str">
        <f>IF(INDEX(키움raw!A:A,2*ROW()-2)="","",INDEX(키움raw!A:A,2*ROW()-2))</f>
        <v/>
      </c>
      <c r="C192" t="str">
        <f>IF(INDEX(키움raw!A:A,2*ROW()-2)="","",INDEX(키움raw!K:K,2*ROW()-2))</f>
        <v/>
      </c>
      <c r="D192" t="str">
        <f>IF(INDEX(키움raw!A:A,2*ROW()-2)="","",INDEX(키움raw!B:B,2*ROW()-2))</f>
        <v/>
      </c>
      <c r="E192" t="str">
        <f>IF(INDEX(키움raw!A:A,2*ROW()-2)="","",INDEX(키움raw!D:D,2*ROW()-2)&amp;" "&amp;SUBSTITUTE(SUBSTITUTE(INDEX(키움raw!F:F,2*ROW()-3),"현금매수","장내매수"),"현금매도","장내매도"))</f>
        <v/>
      </c>
      <c r="F192" t="str">
        <f>IF(INDEX(키움raw!A:A,2*ROW()-2)="","",INDEX(키움raw!E:E,2*ROW()-2))</f>
        <v/>
      </c>
      <c r="G192" t="str">
        <f>IF(INDEX(키움raw!A:A,2*ROW()-2)="","",INDEX(키움raw!F:F,2*ROW()-2))</f>
        <v/>
      </c>
      <c r="X192" t="str">
        <f>IF(INDEX(키움raw!A:A,2*ROW()-2)="","",TEXT(INDEX(키움raw!D:D,2*ROW()-3),"000000"))</f>
        <v/>
      </c>
      <c r="AA192" t="str">
        <f>IF(INDEX(키움raw!A:A,2*ROW()-2)="","",INDEX(키움raw!A:A,2*ROW()-2))</f>
        <v/>
      </c>
    </row>
    <row r="193" spans="1:27" x14ac:dyDescent="0.3">
      <c r="A193" t="str">
        <f>IF(INDEX(키움raw!A:A,2*ROW()-2)="","",$B$1)</f>
        <v/>
      </c>
      <c r="B193" t="str">
        <f>IF(INDEX(키움raw!A:A,2*ROW()-2)="","",INDEX(키움raw!A:A,2*ROW()-2))</f>
        <v/>
      </c>
      <c r="C193" t="str">
        <f>IF(INDEX(키움raw!A:A,2*ROW()-2)="","",INDEX(키움raw!K:K,2*ROW()-2))</f>
        <v/>
      </c>
      <c r="D193" t="str">
        <f>IF(INDEX(키움raw!A:A,2*ROW()-2)="","",INDEX(키움raw!B:B,2*ROW()-2))</f>
        <v/>
      </c>
      <c r="E193" t="str">
        <f>IF(INDEX(키움raw!A:A,2*ROW()-2)="","",INDEX(키움raw!D:D,2*ROW()-2)&amp;" "&amp;SUBSTITUTE(SUBSTITUTE(INDEX(키움raw!F:F,2*ROW()-3),"현금매수","장내매수"),"현금매도","장내매도"))</f>
        <v/>
      </c>
      <c r="F193" t="str">
        <f>IF(INDEX(키움raw!A:A,2*ROW()-2)="","",INDEX(키움raw!E:E,2*ROW()-2))</f>
        <v/>
      </c>
      <c r="G193" t="str">
        <f>IF(INDEX(키움raw!A:A,2*ROW()-2)="","",INDEX(키움raw!F:F,2*ROW()-2))</f>
        <v/>
      </c>
      <c r="X193" t="str">
        <f>IF(INDEX(키움raw!A:A,2*ROW()-2)="","",TEXT(INDEX(키움raw!D:D,2*ROW()-3),"000000"))</f>
        <v/>
      </c>
      <c r="AA193" t="str">
        <f>IF(INDEX(키움raw!A:A,2*ROW()-2)="","",INDEX(키움raw!A:A,2*ROW()-2))</f>
        <v/>
      </c>
    </row>
    <row r="194" spans="1:27" x14ac:dyDescent="0.3">
      <c r="A194" t="str">
        <f>IF(INDEX(키움raw!A:A,2*ROW()-2)="","",$B$1)</f>
        <v/>
      </c>
      <c r="B194" t="str">
        <f>IF(INDEX(키움raw!A:A,2*ROW()-2)="","",INDEX(키움raw!A:A,2*ROW()-2))</f>
        <v/>
      </c>
      <c r="C194" t="str">
        <f>IF(INDEX(키움raw!A:A,2*ROW()-2)="","",INDEX(키움raw!K:K,2*ROW()-2))</f>
        <v/>
      </c>
      <c r="D194" t="str">
        <f>IF(INDEX(키움raw!A:A,2*ROW()-2)="","",INDEX(키움raw!B:B,2*ROW()-2))</f>
        <v/>
      </c>
      <c r="E194" t="str">
        <f>IF(INDEX(키움raw!A:A,2*ROW()-2)="","",INDEX(키움raw!D:D,2*ROW()-2)&amp;" "&amp;SUBSTITUTE(SUBSTITUTE(INDEX(키움raw!F:F,2*ROW()-3),"현금매수","장내매수"),"현금매도","장내매도"))</f>
        <v/>
      </c>
      <c r="F194" t="str">
        <f>IF(INDEX(키움raw!A:A,2*ROW()-2)="","",INDEX(키움raw!E:E,2*ROW()-2))</f>
        <v/>
      </c>
      <c r="G194" t="str">
        <f>IF(INDEX(키움raw!A:A,2*ROW()-2)="","",INDEX(키움raw!F:F,2*ROW()-2))</f>
        <v/>
      </c>
      <c r="X194" t="str">
        <f>IF(INDEX(키움raw!A:A,2*ROW()-2)="","",TEXT(INDEX(키움raw!D:D,2*ROW()-3),"000000"))</f>
        <v/>
      </c>
      <c r="AA194" t="str">
        <f>IF(INDEX(키움raw!A:A,2*ROW()-2)="","",INDEX(키움raw!A:A,2*ROW()-2))</f>
        <v/>
      </c>
    </row>
    <row r="195" spans="1:27" x14ac:dyDescent="0.3">
      <c r="A195" t="str">
        <f>IF(INDEX(키움raw!A:A,2*ROW()-2)="","",$B$1)</f>
        <v/>
      </c>
      <c r="B195" t="str">
        <f>IF(INDEX(키움raw!A:A,2*ROW()-2)="","",INDEX(키움raw!A:A,2*ROW()-2))</f>
        <v/>
      </c>
      <c r="C195" t="str">
        <f>IF(INDEX(키움raw!A:A,2*ROW()-2)="","",INDEX(키움raw!K:K,2*ROW()-2))</f>
        <v/>
      </c>
      <c r="D195" t="str">
        <f>IF(INDEX(키움raw!A:A,2*ROW()-2)="","",INDEX(키움raw!B:B,2*ROW()-2))</f>
        <v/>
      </c>
      <c r="E195" t="str">
        <f>IF(INDEX(키움raw!A:A,2*ROW()-2)="","",INDEX(키움raw!D:D,2*ROW()-2)&amp;" "&amp;SUBSTITUTE(SUBSTITUTE(INDEX(키움raw!F:F,2*ROW()-3),"현금매수","장내매수"),"현금매도","장내매도"))</f>
        <v/>
      </c>
      <c r="F195" t="str">
        <f>IF(INDEX(키움raw!A:A,2*ROW()-2)="","",INDEX(키움raw!E:E,2*ROW()-2))</f>
        <v/>
      </c>
      <c r="G195" t="str">
        <f>IF(INDEX(키움raw!A:A,2*ROW()-2)="","",INDEX(키움raw!F:F,2*ROW()-2))</f>
        <v/>
      </c>
      <c r="X195" t="str">
        <f>IF(INDEX(키움raw!A:A,2*ROW()-2)="","",TEXT(INDEX(키움raw!D:D,2*ROW()-3),"000000"))</f>
        <v/>
      </c>
      <c r="AA195" t="str">
        <f>IF(INDEX(키움raw!A:A,2*ROW()-2)="","",INDEX(키움raw!A:A,2*ROW()-2))</f>
        <v/>
      </c>
    </row>
    <row r="196" spans="1:27" x14ac:dyDescent="0.3">
      <c r="A196" t="str">
        <f>IF(INDEX(키움raw!A:A,2*ROW()-2)="","",$B$1)</f>
        <v/>
      </c>
      <c r="B196" t="str">
        <f>IF(INDEX(키움raw!A:A,2*ROW()-2)="","",INDEX(키움raw!A:A,2*ROW()-2))</f>
        <v/>
      </c>
      <c r="C196" t="str">
        <f>IF(INDEX(키움raw!A:A,2*ROW()-2)="","",INDEX(키움raw!K:K,2*ROW()-2))</f>
        <v/>
      </c>
      <c r="D196" t="str">
        <f>IF(INDEX(키움raw!A:A,2*ROW()-2)="","",INDEX(키움raw!B:B,2*ROW()-2))</f>
        <v/>
      </c>
      <c r="E196" t="str">
        <f>IF(INDEX(키움raw!A:A,2*ROW()-2)="","",INDEX(키움raw!D:D,2*ROW()-2)&amp;" "&amp;SUBSTITUTE(SUBSTITUTE(INDEX(키움raw!F:F,2*ROW()-3),"현금매수","장내매수"),"현금매도","장내매도"))</f>
        <v/>
      </c>
      <c r="F196" t="str">
        <f>IF(INDEX(키움raw!A:A,2*ROW()-2)="","",INDEX(키움raw!E:E,2*ROW()-2))</f>
        <v/>
      </c>
      <c r="G196" t="str">
        <f>IF(INDEX(키움raw!A:A,2*ROW()-2)="","",INDEX(키움raw!F:F,2*ROW()-2))</f>
        <v/>
      </c>
      <c r="X196" t="str">
        <f>IF(INDEX(키움raw!A:A,2*ROW()-2)="","",TEXT(INDEX(키움raw!D:D,2*ROW()-3),"000000"))</f>
        <v/>
      </c>
      <c r="AA196" t="str">
        <f>IF(INDEX(키움raw!A:A,2*ROW()-2)="","",INDEX(키움raw!A:A,2*ROW()-2))</f>
        <v/>
      </c>
    </row>
    <row r="197" spans="1:27" x14ac:dyDescent="0.3">
      <c r="A197" t="str">
        <f>IF(INDEX(키움raw!A:A,2*ROW()-2)="","",$B$1)</f>
        <v/>
      </c>
      <c r="B197" t="str">
        <f>IF(INDEX(키움raw!A:A,2*ROW()-2)="","",INDEX(키움raw!A:A,2*ROW()-2))</f>
        <v/>
      </c>
      <c r="C197" t="str">
        <f>IF(INDEX(키움raw!A:A,2*ROW()-2)="","",INDEX(키움raw!K:K,2*ROW()-2))</f>
        <v/>
      </c>
      <c r="D197" t="str">
        <f>IF(INDEX(키움raw!A:A,2*ROW()-2)="","",INDEX(키움raw!B:B,2*ROW()-2))</f>
        <v/>
      </c>
      <c r="E197" t="str">
        <f>IF(INDEX(키움raw!A:A,2*ROW()-2)="","",INDEX(키움raw!D:D,2*ROW()-2)&amp;" "&amp;SUBSTITUTE(SUBSTITUTE(INDEX(키움raw!F:F,2*ROW()-3),"현금매수","장내매수"),"현금매도","장내매도"))</f>
        <v/>
      </c>
      <c r="F197" t="str">
        <f>IF(INDEX(키움raw!A:A,2*ROW()-2)="","",INDEX(키움raw!E:E,2*ROW()-2))</f>
        <v/>
      </c>
      <c r="G197" t="str">
        <f>IF(INDEX(키움raw!A:A,2*ROW()-2)="","",INDEX(키움raw!F:F,2*ROW()-2))</f>
        <v/>
      </c>
      <c r="X197" t="str">
        <f>IF(INDEX(키움raw!A:A,2*ROW()-2)="","",TEXT(INDEX(키움raw!D:D,2*ROW()-3),"000000"))</f>
        <v/>
      </c>
      <c r="AA197" t="str">
        <f>IF(INDEX(키움raw!A:A,2*ROW()-2)="","",INDEX(키움raw!A:A,2*ROW()-2))</f>
        <v/>
      </c>
    </row>
    <row r="198" spans="1:27" x14ac:dyDescent="0.3">
      <c r="A198" t="str">
        <f>IF(INDEX(키움raw!A:A,2*ROW()-2)="","",$B$1)</f>
        <v/>
      </c>
      <c r="B198" t="str">
        <f>IF(INDEX(키움raw!A:A,2*ROW()-2)="","",INDEX(키움raw!A:A,2*ROW()-2))</f>
        <v/>
      </c>
      <c r="C198" t="str">
        <f>IF(INDEX(키움raw!A:A,2*ROW()-2)="","",INDEX(키움raw!K:K,2*ROW()-2))</f>
        <v/>
      </c>
      <c r="D198" t="str">
        <f>IF(INDEX(키움raw!A:A,2*ROW()-2)="","",INDEX(키움raw!B:B,2*ROW()-2))</f>
        <v/>
      </c>
      <c r="E198" t="str">
        <f>IF(INDEX(키움raw!A:A,2*ROW()-2)="","",INDEX(키움raw!D:D,2*ROW()-2)&amp;" "&amp;SUBSTITUTE(SUBSTITUTE(INDEX(키움raw!F:F,2*ROW()-3),"현금매수","장내매수"),"현금매도","장내매도"))</f>
        <v/>
      </c>
      <c r="F198" t="str">
        <f>IF(INDEX(키움raw!A:A,2*ROW()-2)="","",INDEX(키움raw!E:E,2*ROW()-2))</f>
        <v/>
      </c>
      <c r="G198" t="str">
        <f>IF(INDEX(키움raw!A:A,2*ROW()-2)="","",INDEX(키움raw!F:F,2*ROW()-2))</f>
        <v/>
      </c>
      <c r="X198" t="str">
        <f>IF(INDEX(키움raw!A:A,2*ROW()-2)="","",TEXT(INDEX(키움raw!D:D,2*ROW()-3),"000000"))</f>
        <v/>
      </c>
      <c r="AA198" t="str">
        <f>IF(INDEX(키움raw!A:A,2*ROW()-2)="","",INDEX(키움raw!A:A,2*ROW()-2))</f>
        <v/>
      </c>
    </row>
    <row r="199" spans="1:27" x14ac:dyDescent="0.3">
      <c r="A199" t="str">
        <f>IF(INDEX(키움raw!A:A,2*ROW()-2)="","",$B$1)</f>
        <v/>
      </c>
      <c r="B199" t="str">
        <f>IF(INDEX(키움raw!A:A,2*ROW()-2)="","",INDEX(키움raw!A:A,2*ROW()-2))</f>
        <v/>
      </c>
      <c r="C199" t="str">
        <f>IF(INDEX(키움raw!A:A,2*ROW()-2)="","",INDEX(키움raw!K:K,2*ROW()-2))</f>
        <v/>
      </c>
      <c r="D199" t="str">
        <f>IF(INDEX(키움raw!A:A,2*ROW()-2)="","",INDEX(키움raw!B:B,2*ROW()-2))</f>
        <v/>
      </c>
      <c r="E199" t="str">
        <f>IF(INDEX(키움raw!A:A,2*ROW()-2)="","",INDEX(키움raw!D:D,2*ROW()-2)&amp;" "&amp;SUBSTITUTE(SUBSTITUTE(INDEX(키움raw!F:F,2*ROW()-3),"현금매수","장내매수"),"현금매도","장내매도"))</f>
        <v/>
      </c>
      <c r="F199" t="str">
        <f>IF(INDEX(키움raw!A:A,2*ROW()-2)="","",INDEX(키움raw!E:E,2*ROW()-2))</f>
        <v/>
      </c>
      <c r="G199" t="str">
        <f>IF(INDEX(키움raw!A:A,2*ROW()-2)="","",INDEX(키움raw!F:F,2*ROW()-2))</f>
        <v/>
      </c>
      <c r="X199" t="str">
        <f>IF(INDEX(키움raw!A:A,2*ROW()-2)="","",TEXT(INDEX(키움raw!D:D,2*ROW()-3),"000000"))</f>
        <v/>
      </c>
      <c r="AA199" t="str">
        <f>IF(INDEX(키움raw!A:A,2*ROW()-2)="","",INDEX(키움raw!A:A,2*ROW()-2))</f>
        <v/>
      </c>
    </row>
    <row r="200" spans="1:27" x14ac:dyDescent="0.3">
      <c r="A200" t="str">
        <f>IF(INDEX(키움raw!A:A,2*ROW()-2)="","",$B$1)</f>
        <v/>
      </c>
      <c r="B200" t="str">
        <f>IF(INDEX(키움raw!A:A,2*ROW()-2)="","",INDEX(키움raw!A:A,2*ROW()-2))</f>
        <v/>
      </c>
      <c r="C200" t="str">
        <f>IF(INDEX(키움raw!A:A,2*ROW()-2)="","",INDEX(키움raw!K:K,2*ROW()-2))</f>
        <v/>
      </c>
      <c r="D200" t="str">
        <f>IF(INDEX(키움raw!A:A,2*ROW()-2)="","",INDEX(키움raw!B:B,2*ROW()-2))</f>
        <v/>
      </c>
      <c r="E200" t="str">
        <f>IF(INDEX(키움raw!A:A,2*ROW()-2)="","",INDEX(키움raw!D:D,2*ROW()-2)&amp;" "&amp;SUBSTITUTE(SUBSTITUTE(INDEX(키움raw!F:F,2*ROW()-3),"현금매수","장내매수"),"현금매도","장내매도"))</f>
        <v/>
      </c>
      <c r="F200" t="str">
        <f>IF(INDEX(키움raw!A:A,2*ROW()-2)="","",INDEX(키움raw!E:E,2*ROW()-2))</f>
        <v/>
      </c>
      <c r="G200" t="str">
        <f>IF(INDEX(키움raw!A:A,2*ROW()-2)="","",INDEX(키움raw!F:F,2*ROW()-2))</f>
        <v/>
      </c>
      <c r="X200" t="str">
        <f>IF(INDEX(키움raw!A:A,2*ROW()-2)="","",TEXT(INDEX(키움raw!D:D,2*ROW()-3),"000000"))</f>
        <v/>
      </c>
      <c r="AA200" t="str">
        <f>IF(INDEX(키움raw!A:A,2*ROW()-2)="","",INDEX(키움raw!A:A,2*ROW()-2))</f>
        <v/>
      </c>
    </row>
    <row r="201" spans="1:27" x14ac:dyDescent="0.3">
      <c r="A201" t="str">
        <f>IF(INDEX(키움raw!A:A,2*ROW()-2)="","",$B$1)</f>
        <v/>
      </c>
      <c r="B201" t="str">
        <f>IF(INDEX(키움raw!A:A,2*ROW()-2)="","",INDEX(키움raw!A:A,2*ROW()-2))</f>
        <v/>
      </c>
      <c r="C201" t="str">
        <f>IF(INDEX(키움raw!A:A,2*ROW()-2)="","",INDEX(키움raw!K:K,2*ROW()-2))</f>
        <v/>
      </c>
      <c r="D201" t="str">
        <f>IF(INDEX(키움raw!A:A,2*ROW()-2)="","",INDEX(키움raw!B:B,2*ROW()-2))</f>
        <v/>
      </c>
      <c r="E201" t="str">
        <f>IF(INDEX(키움raw!A:A,2*ROW()-2)="","",INDEX(키움raw!D:D,2*ROW()-2)&amp;" "&amp;SUBSTITUTE(SUBSTITUTE(INDEX(키움raw!F:F,2*ROW()-3),"현금매수","장내매수"),"현금매도","장내매도"))</f>
        <v/>
      </c>
      <c r="F201" t="str">
        <f>IF(INDEX(키움raw!A:A,2*ROW()-2)="","",INDEX(키움raw!E:E,2*ROW()-2))</f>
        <v/>
      </c>
      <c r="G201" t="str">
        <f>IF(INDEX(키움raw!A:A,2*ROW()-2)="","",INDEX(키움raw!F:F,2*ROW()-2))</f>
        <v/>
      </c>
      <c r="X201" t="str">
        <f>IF(INDEX(키움raw!A:A,2*ROW()-2)="","",TEXT(INDEX(키움raw!D:D,2*ROW()-3),"000000"))</f>
        <v/>
      </c>
      <c r="AA201" t="str">
        <f>IF(INDEX(키움raw!A:A,2*ROW()-2)="","",INDEX(키움raw!A:A,2*ROW()-2))</f>
        <v/>
      </c>
    </row>
    <row r="202" spans="1:27" x14ac:dyDescent="0.3">
      <c r="A202" t="str">
        <f>IF(INDEX(키움raw!A:A,2*ROW()-2)="","",$B$1)</f>
        <v/>
      </c>
      <c r="B202" t="str">
        <f>IF(INDEX(키움raw!A:A,2*ROW()-2)="","",INDEX(키움raw!A:A,2*ROW()-2))</f>
        <v/>
      </c>
      <c r="C202" t="str">
        <f>IF(INDEX(키움raw!A:A,2*ROW()-2)="","",INDEX(키움raw!K:K,2*ROW()-2))</f>
        <v/>
      </c>
      <c r="D202" t="str">
        <f>IF(INDEX(키움raw!A:A,2*ROW()-2)="","",INDEX(키움raw!B:B,2*ROW()-2))</f>
        <v/>
      </c>
      <c r="E202" t="str">
        <f>IF(INDEX(키움raw!A:A,2*ROW()-2)="","",INDEX(키움raw!D:D,2*ROW()-2)&amp;" "&amp;SUBSTITUTE(SUBSTITUTE(INDEX(키움raw!F:F,2*ROW()-3),"현금매수","장내매수"),"현금매도","장내매도"))</f>
        <v/>
      </c>
      <c r="F202" t="str">
        <f>IF(INDEX(키움raw!A:A,2*ROW()-2)="","",INDEX(키움raw!E:E,2*ROW()-2))</f>
        <v/>
      </c>
      <c r="G202" t="str">
        <f>IF(INDEX(키움raw!A:A,2*ROW()-2)="","",INDEX(키움raw!F:F,2*ROW()-2))</f>
        <v/>
      </c>
      <c r="X202" t="str">
        <f>IF(INDEX(키움raw!A:A,2*ROW()-2)="","",TEXT(INDEX(키움raw!D:D,2*ROW()-3),"000000"))</f>
        <v/>
      </c>
      <c r="AA202" t="str">
        <f>IF(INDEX(키움raw!A:A,2*ROW()-2)="","",INDEX(키움raw!A:A,2*ROW()-2))</f>
        <v/>
      </c>
    </row>
  </sheetData>
  <phoneticPr fontId="7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키움raw</vt:lpstr>
      <vt:lpstr>평탄화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김호섭</cp:lastModifiedBy>
  <dcterms:created xsi:type="dcterms:W3CDTF">2026-05-28T23:55:07Z</dcterms:created>
  <dcterms:modified xsi:type="dcterms:W3CDTF">2026-05-29T00:03:39Z</dcterms:modified>
</cp:coreProperties>
</file>